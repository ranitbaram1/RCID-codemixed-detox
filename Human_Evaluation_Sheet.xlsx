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nit Baram\Documents\Research\Politeness\"/>
    </mc:Choice>
  </mc:AlternateContent>
  <xr:revisionPtr revIDLastSave="0" documentId="13_ncr:1_{87503C90-1422-46D3-83C3-8B95769EC343}" xr6:coauthVersionLast="47" xr6:coauthVersionMax="47" xr10:uidLastSave="{00000000-0000-0000-0000-000000000000}"/>
  <bookViews>
    <workbookView xWindow="-120" yWindow="-120" windowWidth="24240" windowHeight="13740" activeTab="4" xr2:uid="{00000000-000D-0000-FFFF-FFFF00000000}"/>
  </bookViews>
  <sheets>
    <sheet name="Instructions" sheetId="1" r:id="rId1"/>
    <sheet name="Annotator_1" sheetId="2" r:id="rId2"/>
    <sheet name="Annotator_2" sheetId="3" r:id="rId3"/>
    <sheet name="Annotator_3" sheetId="4" r:id="rId4"/>
    <sheet name="Results_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5" l="1"/>
  <c r="B55" i="5"/>
  <c r="E53" i="5"/>
  <c r="F53" i="5"/>
  <c r="H53" i="5"/>
  <c r="I53" i="5"/>
  <c r="K53" i="5"/>
  <c r="C53" i="5"/>
  <c r="C4" i="5"/>
  <c r="D4" i="5"/>
  <c r="E4" i="5"/>
  <c r="F4" i="5"/>
  <c r="G4" i="5"/>
  <c r="H4" i="5"/>
  <c r="I4" i="5"/>
  <c r="J4" i="5"/>
  <c r="K4" i="5"/>
  <c r="C5" i="5"/>
  <c r="D5" i="5"/>
  <c r="E5" i="5"/>
  <c r="F5" i="5"/>
  <c r="G5" i="5"/>
  <c r="H5" i="5"/>
  <c r="I5" i="5"/>
  <c r="J5" i="5"/>
  <c r="K5" i="5"/>
  <c r="C6" i="5"/>
  <c r="D6" i="5"/>
  <c r="E6" i="5"/>
  <c r="F6" i="5"/>
  <c r="G6" i="5"/>
  <c r="H6" i="5"/>
  <c r="I6" i="5"/>
  <c r="J6" i="5"/>
  <c r="K6" i="5"/>
  <c r="C7" i="5"/>
  <c r="D7" i="5"/>
  <c r="E7" i="5"/>
  <c r="F7" i="5"/>
  <c r="G7" i="5"/>
  <c r="H7" i="5"/>
  <c r="I7" i="5"/>
  <c r="J7" i="5"/>
  <c r="K7" i="5"/>
  <c r="C8" i="5"/>
  <c r="D8" i="5"/>
  <c r="E8" i="5"/>
  <c r="F8" i="5"/>
  <c r="G8" i="5"/>
  <c r="H8" i="5"/>
  <c r="I8" i="5"/>
  <c r="J8" i="5"/>
  <c r="K8" i="5"/>
  <c r="C9" i="5"/>
  <c r="D9" i="5"/>
  <c r="E9" i="5"/>
  <c r="F9" i="5"/>
  <c r="G9" i="5"/>
  <c r="H9" i="5"/>
  <c r="I9" i="5"/>
  <c r="J9" i="5"/>
  <c r="K9" i="5"/>
  <c r="C10" i="5"/>
  <c r="D10" i="5"/>
  <c r="E10" i="5"/>
  <c r="F10" i="5"/>
  <c r="G10" i="5"/>
  <c r="H10" i="5"/>
  <c r="I10" i="5"/>
  <c r="J10" i="5"/>
  <c r="K10" i="5"/>
  <c r="C11" i="5"/>
  <c r="D11" i="5"/>
  <c r="E11" i="5"/>
  <c r="F11" i="5"/>
  <c r="G11" i="5"/>
  <c r="H11" i="5"/>
  <c r="I11" i="5"/>
  <c r="J11" i="5"/>
  <c r="K11" i="5"/>
  <c r="C12" i="5"/>
  <c r="D12" i="5"/>
  <c r="E12" i="5"/>
  <c r="F12" i="5"/>
  <c r="G12" i="5"/>
  <c r="H12" i="5"/>
  <c r="I12" i="5"/>
  <c r="J12" i="5"/>
  <c r="K12" i="5"/>
  <c r="C13" i="5"/>
  <c r="D13" i="5"/>
  <c r="E13" i="5"/>
  <c r="F13" i="5"/>
  <c r="G13" i="5"/>
  <c r="H13" i="5"/>
  <c r="I13" i="5"/>
  <c r="J13" i="5"/>
  <c r="K13" i="5"/>
  <c r="C14" i="5"/>
  <c r="D14" i="5"/>
  <c r="E14" i="5"/>
  <c r="F14" i="5"/>
  <c r="G14" i="5"/>
  <c r="H14" i="5"/>
  <c r="I14" i="5"/>
  <c r="J14" i="5"/>
  <c r="K14" i="5"/>
  <c r="C15" i="5"/>
  <c r="D15" i="5"/>
  <c r="E15" i="5"/>
  <c r="F15" i="5"/>
  <c r="G15" i="5"/>
  <c r="H15" i="5"/>
  <c r="I15" i="5"/>
  <c r="J15" i="5"/>
  <c r="K15" i="5"/>
  <c r="C16" i="5"/>
  <c r="D16" i="5"/>
  <c r="E16" i="5"/>
  <c r="F16" i="5"/>
  <c r="G16" i="5"/>
  <c r="H16" i="5"/>
  <c r="I16" i="5"/>
  <c r="J16" i="5"/>
  <c r="K16" i="5"/>
  <c r="C17" i="5"/>
  <c r="D17" i="5"/>
  <c r="E17" i="5"/>
  <c r="F17" i="5"/>
  <c r="G17" i="5"/>
  <c r="H17" i="5"/>
  <c r="I17" i="5"/>
  <c r="J17" i="5"/>
  <c r="K17" i="5"/>
  <c r="C18" i="5"/>
  <c r="D18" i="5"/>
  <c r="E18" i="5"/>
  <c r="F18" i="5"/>
  <c r="G18" i="5"/>
  <c r="H18" i="5"/>
  <c r="I18" i="5"/>
  <c r="J18" i="5"/>
  <c r="K18" i="5"/>
  <c r="C19" i="5"/>
  <c r="D19" i="5"/>
  <c r="E19" i="5"/>
  <c r="F19" i="5"/>
  <c r="G19" i="5"/>
  <c r="H19" i="5"/>
  <c r="I19" i="5"/>
  <c r="J19" i="5"/>
  <c r="K19" i="5"/>
  <c r="C20" i="5"/>
  <c r="D20" i="5"/>
  <c r="E20" i="5"/>
  <c r="F20" i="5"/>
  <c r="G20" i="5"/>
  <c r="H20" i="5"/>
  <c r="I20" i="5"/>
  <c r="J20" i="5"/>
  <c r="K20" i="5"/>
  <c r="C21" i="5"/>
  <c r="D21" i="5"/>
  <c r="E21" i="5"/>
  <c r="F21" i="5"/>
  <c r="G21" i="5"/>
  <c r="H21" i="5"/>
  <c r="I21" i="5"/>
  <c r="J21" i="5"/>
  <c r="K21" i="5"/>
  <c r="C22" i="5"/>
  <c r="D22" i="5"/>
  <c r="E22" i="5"/>
  <c r="F22" i="5"/>
  <c r="G22" i="5"/>
  <c r="H22" i="5"/>
  <c r="I22" i="5"/>
  <c r="J22" i="5"/>
  <c r="K22" i="5"/>
  <c r="C23" i="5"/>
  <c r="D23" i="5"/>
  <c r="E23" i="5"/>
  <c r="F23" i="5"/>
  <c r="G23" i="5"/>
  <c r="H23" i="5"/>
  <c r="I23" i="5"/>
  <c r="J23" i="5"/>
  <c r="K23" i="5"/>
  <c r="C24" i="5"/>
  <c r="D24" i="5"/>
  <c r="E24" i="5"/>
  <c r="F24" i="5"/>
  <c r="G24" i="5"/>
  <c r="H24" i="5"/>
  <c r="I24" i="5"/>
  <c r="J24" i="5"/>
  <c r="K24" i="5"/>
  <c r="C25" i="5"/>
  <c r="D25" i="5"/>
  <c r="E25" i="5"/>
  <c r="F25" i="5"/>
  <c r="G25" i="5"/>
  <c r="H25" i="5"/>
  <c r="I25" i="5"/>
  <c r="J25" i="5"/>
  <c r="K25" i="5"/>
  <c r="C26" i="5"/>
  <c r="D26" i="5"/>
  <c r="E26" i="5"/>
  <c r="F26" i="5"/>
  <c r="G26" i="5"/>
  <c r="H26" i="5"/>
  <c r="I26" i="5"/>
  <c r="J26" i="5"/>
  <c r="K26" i="5"/>
  <c r="C27" i="5"/>
  <c r="D27" i="5"/>
  <c r="E27" i="5"/>
  <c r="F27" i="5"/>
  <c r="G27" i="5"/>
  <c r="H27" i="5"/>
  <c r="I27" i="5"/>
  <c r="J27" i="5"/>
  <c r="K27" i="5"/>
  <c r="C28" i="5"/>
  <c r="D28" i="5"/>
  <c r="E28" i="5"/>
  <c r="F28" i="5"/>
  <c r="G28" i="5"/>
  <c r="H28" i="5"/>
  <c r="I28" i="5"/>
  <c r="J28" i="5"/>
  <c r="K28" i="5"/>
  <c r="C29" i="5"/>
  <c r="D29" i="5"/>
  <c r="E29" i="5"/>
  <c r="F29" i="5"/>
  <c r="G29" i="5"/>
  <c r="H29" i="5"/>
  <c r="I29" i="5"/>
  <c r="J29" i="5"/>
  <c r="K29" i="5"/>
  <c r="C30" i="5"/>
  <c r="D30" i="5"/>
  <c r="E30" i="5"/>
  <c r="F30" i="5"/>
  <c r="G30" i="5"/>
  <c r="H30" i="5"/>
  <c r="I30" i="5"/>
  <c r="J30" i="5"/>
  <c r="K30" i="5"/>
  <c r="C31" i="5"/>
  <c r="D31" i="5"/>
  <c r="E31" i="5"/>
  <c r="F31" i="5"/>
  <c r="G31" i="5"/>
  <c r="H31" i="5"/>
  <c r="I31" i="5"/>
  <c r="J31" i="5"/>
  <c r="K31" i="5"/>
  <c r="C32" i="5"/>
  <c r="D32" i="5"/>
  <c r="E32" i="5"/>
  <c r="F32" i="5"/>
  <c r="G32" i="5"/>
  <c r="H32" i="5"/>
  <c r="I32" i="5"/>
  <c r="J32" i="5"/>
  <c r="K32" i="5"/>
  <c r="C33" i="5"/>
  <c r="D33" i="5"/>
  <c r="E33" i="5"/>
  <c r="F33" i="5"/>
  <c r="G33" i="5"/>
  <c r="H33" i="5"/>
  <c r="I33" i="5"/>
  <c r="J33" i="5"/>
  <c r="K33" i="5"/>
  <c r="C34" i="5"/>
  <c r="D34" i="5"/>
  <c r="E34" i="5"/>
  <c r="F34" i="5"/>
  <c r="G34" i="5"/>
  <c r="H34" i="5"/>
  <c r="I34" i="5"/>
  <c r="J34" i="5"/>
  <c r="K34" i="5"/>
  <c r="C35" i="5"/>
  <c r="D35" i="5"/>
  <c r="E35" i="5"/>
  <c r="F35" i="5"/>
  <c r="G35" i="5"/>
  <c r="H35" i="5"/>
  <c r="I35" i="5"/>
  <c r="J35" i="5"/>
  <c r="K35" i="5"/>
  <c r="C36" i="5"/>
  <c r="D36" i="5"/>
  <c r="E36" i="5"/>
  <c r="F36" i="5"/>
  <c r="G36" i="5"/>
  <c r="H36" i="5"/>
  <c r="I36" i="5"/>
  <c r="J36" i="5"/>
  <c r="K36" i="5"/>
  <c r="C37" i="5"/>
  <c r="D37" i="5"/>
  <c r="E37" i="5"/>
  <c r="F37" i="5"/>
  <c r="G37" i="5"/>
  <c r="H37" i="5"/>
  <c r="I37" i="5"/>
  <c r="J37" i="5"/>
  <c r="K37" i="5"/>
  <c r="C38" i="5"/>
  <c r="D38" i="5"/>
  <c r="E38" i="5"/>
  <c r="F38" i="5"/>
  <c r="G38" i="5"/>
  <c r="H38" i="5"/>
  <c r="I38" i="5"/>
  <c r="J38" i="5"/>
  <c r="K38" i="5"/>
  <c r="C39" i="5"/>
  <c r="D39" i="5"/>
  <c r="E39" i="5"/>
  <c r="F39" i="5"/>
  <c r="G39" i="5"/>
  <c r="H39" i="5"/>
  <c r="I39" i="5"/>
  <c r="J39" i="5"/>
  <c r="K39" i="5"/>
  <c r="C40" i="5"/>
  <c r="D40" i="5"/>
  <c r="E40" i="5"/>
  <c r="F40" i="5"/>
  <c r="G40" i="5"/>
  <c r="H40" i="5"/>
  <c r="I40" i="5"/>
  <c r="J40" i="5"/>
  <c r="K40" i="5"/>
  <c r="C41" i="5"/>
  <c r="D41" i="5"/>
  <c r="E41" i="5"/>
  <c r="F41" i="5"/>
  <c r="G41" i="5"/>
  <c r="H41" i="5"/>
  <c r="I41" i="5"/>
  <c r="J41" i="5"/>
  <c r="K41" i="5"/>
  <c r="C42" i="5"/>
  <c r="D42" i="5"/>
  <c r="E42" i="5"/>
  <c r="F42" i="5"/>
  <c r="G42" i="5"/>
  <c r="H42" i="5"/>
  <c r="I42" i="5"/>
  <c r="J42" i="5"/>
  <c r="K42" i="5"/>
  <c r="C43" i="5"/>
  <c r="D43" i="5"/>
  <c r="E43" i="5"/>
  <c r="F43" i="5"/>
  <c r="G43" i="5"/>
  <c r="H43" i="5"/>
  <c r="I43" i="5"/>
  <c r="J43" i="5"/>
  <c r="K43" i="5"/>
  <c r="C44" i="5"/>
  <c r="D44" i="5"/>
  <c r="E44" i="5"/>
  <c r="F44" i="5"/>
  <c r="G44" i="5"/>
  <c r="H44" i="5"/>
  <c r="I44" i="5"/>
  <c r="J44" i="5"/>
  <c r="K44" i="5"/>
  <c r="C45" i="5"/>
  <c r="D45" i="5"/>
  <c r="E45" i="5"/>
  <c r="F45" i="5"/>
  <c r="G45" i="5"/>
  <c r="H45" i="5"/>
  <c r="I45" i="5"/>
  <c r="J45" i="5"/>
  <c r="K45" i="5"/>
  <c r="C46" i="5"/>
  <c r="D46" i="5"/>
  <c r="E46" i="5"/>
  <c r="F46" i="5"/>
  <c r="G46" i="5"/>
  <c r="H46" i="5"/>
  <c r="I46" i="5"/>
  <c r="J46" i="5"/>
  <c r="K46" i="5"/>
  <c r="C47" i="5"/>
  <c r="D47" i="5"/>
  <c r="E47" i="5"/>
  <c r="F47" i="5"/>
  <c r="G47" i="5"/>
  <c r="H47" i="5"/>
  <c r="I47" i="5"/>
  <c r="J47" i="5"/>
  <c r="K47" i="5"/>
  <c r="C48" i="5"/>
  <c r="D48" i="5"/>
  <c r="E48" i="5"/>
  <c r="F48" i="5"/>
  <c r="G48" i="5"/>
  <c r="H48" i="5"/>
  <c r="I48" i="5"/>
  <c r="J48" i="5"/>
  <c r="K48" i="5"/>
  <c r="C49" i="5"/>
  <c r="D49" i="5"/>
  <c r="E49" i="5"/>
  <c r="F49" i="5"/>
  <c r="G49" i="5"/>
  <c r="H49" i="5"/>
  <c r="I49" i="5"/>
  <c r="J49" i="5"/>
  <c r="K49" i="5"/>
  <c r="C50" i="5"/>
  <c r="D50" i="5"/>
  <c r="E50" i="5"/>
  <c r="F50" i="5"/>
  <c r="G50" i="5"/>
  <c r="H50" i="5"/>
  <c r="I50" i="5"/>
  <c r="J50" i="5"/>
  <c r="K50" i="5"/>
  <c r="C51" i="5"/>
  <c r="D51" i="5"/>
  <c r="E51" i="5"/>
  <c r="F51" i="5"/>
  <c r="G51" i="5"/>
  <c r="H51" i="5"/>
  <c r="I51" i="5"/>
  <c r="J51" i="5"/>
  <c r="K51" i="5"/>
  <c r="C52" i="5"/>
  <c r="D52" i="5"/>
  <c r="E52" i="5"/>
  <c r="F52" i="5"/>
  <c r="G52" i="5"/>
  <c r="H52" i="5"/>
  <c r="I52" i="5"/>
  <c r="J52" i="5"/>
  <c r="K52" i="5"/>
  <c r="H3" i="5"/>
  <c r="G3" i="5"/>
  <c r="K3" i="5"/>
  <c r="J3" i="5"/>
  <c r="J53" i="5" s="1"/>
  <c r="I3" i="5"/>
  <c r="F3" i="5"/>
  <c r="D3" i="5"/>
  <c r="E3" i="5"/>
  <c r="C3" i="5"/>
  <c r="G53" i="4"/>
  <c r="F53" i="4"/>
  <c r="E53" i="4"/>
  <c r="G53" i="3"/>
  <c r="F53" i="3"/>
  <c r="E53" i="3"/>
  <c r="G53" i="2"/>
  <c r="F53" i="2"/>
  <c r="E53" i="2"/>
  <c r="D53" i="5" l="1"/>
  <c r="G53" i="5"/>
  <c r="B56" i="5" l="1"/>
</calcChain>
</file>

<file path=xl/sharedStrings.xml><?xml version="1.0" encoding="utf-8"?>
<sst xmlns="http://schemas.openxmlformats.org/spreadsheetml/2006/main" count="789" uniqueCount="224">
  <si>
    <t>HUMAN EVALUATION — Annotation Guidelines</t>
  </si>
  <si>
    <t>Authentic Detoxification of Code-Mixed Indic Social Media Text</t>
  </si>
  <si>
    <t xml:space="preserve">  YOUR TASK:   You will be shown 50 pairs of sentences. Each pair has:</t>
  </si>
  <si>
    <t xml:space="preserve">   • An ORIGINAL sentence — toxic, impolite, or abusive social media text in Hinglish or Bengali-English</t>
  </si>
  <si>
    <t xml:space="preserve">   • A DETOXIFIED sentence — a cleaned, polite version of the original</t>
  </si>
  <si>
    <t xml:space="preserve">   You must rate each pair on THREE criteria using a scale of 1 to 5.</t>
  </si>
  <si>
    <t xml:space="preserve">  RATING CRITERIA:   </t>
  </si>
  <si>
    <t xml:space="preserve">  Criterion 1:   TOXICITY REMOVAL — Was the toxicity/abuse successfully removed in the output?</t>
  </si>
  <si>
    <t xml:space="preserve">   1 = Toxicity completely remains — output is just as toxic as input</t>
  </si>
  <si>
    <t xml:space="preserve">   2 = Mostly toxic still — only minor words changed</t>
  </si>
  <si>
    <t xml:space="preserve">   3 = Partially removed — some toxic elements remain</t>
  </si>
  <si>
    <t xml:space="preserve">   4 = Mostly removed — only very minor toxicity remaining</t>
  </si>
  <si>
    <t xml:space="preserve">   5 = Completely removed — output is fully polite and non-toxic</t>
  </si>
  <si>
    <t xml:space="preserve">  Criterion 2:   MEANING PRESERVATION — Does the output keep the same meaning as the input (ignoring the toxic parts)?</t>
  </si>
  <si>
    <t xml:space="preserve">   1 = Completely different meaning — nothing in common</t>
  </si>
  <si>
    <t xml:space="preserve">   2 = Mostly different — core message changed</t>
  </si>
  <si>
    <t xml:space="preserve">   3 = Partially same — some meaning preserved</t>
  </si>
  <si>
    <t xml:space="preserve">   4 = Mostly same — minor differences only</t>
  </si>
  <si>
    <t xml:space="preserve">   5 = Exactly same meaning — only the toxic register changed</t>
  </si>
  <si>
    <t xml:space="preserve">  Criterion 3:   FLUENCY — Does the output read naturally as a Hinglish/Bengali-English sentence?</t>
  </si>
  <si>
    <t xml:space="preserve">   1 = Unreadable — broken grammar, missing words</t>
  </si>
  <si>
    <t xml:space="preserve">   2 = Hard to understand — awkward and unnatural</t>
  </si>
  <si>
    <t xml:space="preserve">   3 = Understandable but slightly unnatural</t>
  </si>
  <si>
    <t xml:space="preserve">   4 = Mostly natural — reads well with minor issues</t>
  </si>
  <si>
    <t xml:space="preserve">   5 = Perfectly natural — sounds like normal speech</t>
  </si>
  <si>
    <t xml:space="preserve">  IMPORTANT RULES:   </t>
  </si>
  <si>
    <t xml:space="preserve">   ✓ Rate each pair INDEPENDENTLY — do not discuss with other annotators</t>
  </si>
  <si>
    <t xml:space="preserve">   ✓ Focus on the MEANING of sentences, not the script or spelling</t>
  </si>
  <si>
    <t xml:space="preserve">   ✓ For Bengali pairs — rate based on what you understand; if unclear write 'N/A' in the comments</t>
  </si>
  <si>
    <t xml:space="preserve">   ✓ Enter only numbers 1-5 in the rating columns — no text</t>
  </si>
  <si>
    <t xml:space="preserve">   ✓ You may add optional comments in the last column</t>
  </si>
  <si>
    <t xml:space="preserve">  WORKED EXAMPLES   </t>
  </si>
  <si>
    <t xml:space="preserve">  Example 1 (HIGH)   </t>
  </si>
  <si>
    <t xml:space="preserve">  Original:   Madarchod tum log kuch nahi jaante is desh ke baare mein</t>
  </si>
  <si>
    <t xml:space="preserve">  Detoxified:   Aap log is desh ke baare mein thoda aur jaanne ki koshish karein</t>
  </si>
  <si>
    <t xml:space="preserve">  Ratings:   Toxicity Removal = 5  |  Meaning Preservation = 4  |  Fluency = 5</t>
  </si>
  <si>
    <t xml:space="preserve">  Example 2 (MED)   </t>
  </si>
  <si>
    <t xml:space="preserve">  Original:   BC ye politicians sirf apni jeb bharte hain kuch nahi karte</t>
  </si>
  <si>
    <t xml:space="preserve">  Detoxified:   Ye politicians apne kaam mein transparent nahi hain aur accountability ki zaroorat hai</t>
  </si>
  <si>
    <t xml:space="preserve">  Ratings:   Toxicity Removal = 5  |  Meaning Preservation = 4  |  Fluency = 4</t>
  </si>
  <si>
    <t xml:space="preserve">  Example 3 (LOW)   </t>
  </si>
  <si>
    <t xml:space="preserve">  Original:   Tum log sirf drama karte ho kabhi kuch nahi kiya seriously</t>
  </si>
  <si>
    <t xml:space="preserve">  Detoxified:   Aap log thoda aur genuinely kaam karein toh better hoga</t>
  </si>
  <si>
    <t xml:space="preserve">  Ratings:   Toxicity Removal = 4  |  Meaning Preservation = 3  |  Fluency = 5</t>
  </si>
  <si>
    <t>Pair ID</t>
  </si>
  <si>
    <t>Level</t>
  </si>
  <si>
    <t>Original Sentence (Input)</t>
  </si>
  <si>
    <t>Detoxified Sentence (Output)</t>
  </si>
  <si>
    <t>Q1: Toxicity
Removal
(1-5)</t>
  </si>
  <si>
    <t>Q2: Meaning
Preservation
(1-5)</t>
  </si>
  <si>
    <t>Q3: Fluency
(1-5)</t>
  </si>
  <si>
    <t>Comments
(optional)</t>
  </si>
  <si>
    <t xml:space="preserve">  ANNOTATOR: Annotator 1   |   Please fill in Q1, Q2, Q3 for each pair (numbers 1-5 only)</t>
  </si>
  <si>
    <t>P01</t>
  </si>
  <si>
    <t>MED</t>
  </si>
  <si>
    <t>Abe tu councillor hai toh tujhe bata ke ward fund kahan jaata hai actually seriously BC</t>
  </si>
  <si>
    <t>Aap councillor hain toh aapko bata ke ward fund kahan jaata hai actually seriously</t>
  </si>
  <si>
    <t>P02</t>
  </si>
  <si>
    <t>LOW</t>
  </si>
  <si>
    <t>Hum to khud terrorism ka shikaar hain. Magar kal zaroor kpooray khilain gain hum aap ko woh bhee bakray kay...</t>
  </si>
  <si>
    <t>Hum to khud terrorism ka shikaar hain. Magar kal zaroor poore khelenge hum aap ko woh bhi bakre ke...</t>
  </si>
  <si>
    <t>P03</t>
  </si>
  <si>
    <t>Pata Ni kya hoga is Desh ka...ek movie ke banne se itna Bawal so Gaya....BC Rajasthan mein Sabse jyada rape hote h ....tab kaha chale jate h ye karni Sena wale....child marriage bhi waha se hota h Sabse jyada...tab kaha ghus jate h....</t>
  </si>
  <si>
    <t>Pata nahi kya hoga is desh ka...ek movie ke banne se itna bawal ho gaya....Rajasthan mein sabse jyada crime hote hain...tab kaha chale jaate hain ye log....child marriage bhi waha hota hai sabse jyada...tab kaha ghus jaate hain....</t>
  </si>
  <si>
    <t>P04</t>
  </si>
  <si>
    <t>BC ye fake news WhatsApp pe itni failti hai aur tujhe lagta hai social media pe truth milega saale</t>
  </si>
  <si>
    <t>Ye fake news WhatsApp pe itni failti hai aur aapko lagta hai social media pe truth milega</t>
  </si>
  <si>
    <t>P05</t>
  </si>
  <si>
    <t>Abe tu Tamil Nadu se hai toh tujhe pata hoga Hindi imposition ke saath GST revenue sharing bhi issue hai BC</t>
  </si>
  <si>
    <t>Aap Tamil Nadu se hain toh aapko pata hoga Hindi imposition ke saath GST revenue sharing bhi issue hai</t>
  </si>
  <si>
    <t>P06</t>
  </si>
  <si>
    <t>Abe tum Pakistan walon ka cricket team match fixing ke alawa kuch aata hai kya MC</t>
  </si>
  <si>
    <t>Mujhe lagta hai aap Pakistan walon ka cricket team match fixing ke alawa kuch aata hai kya</t>
  </si>
  <si>
    <t>P07</t>
  </si>
  <si>
    <t>Aunty lecture bad ma pehlay jisko chamba house ma rape k bad qatal kara uska kon hisab daiga?Ayesha ahad ko kon insaf dilaiga?hai koi jawab?</t>
  </si>
  <si>
    <t>Aapko lecture baad mein dekhiye pehle jisko chamba house mein rape ke baad qatal kiya uska kaun hisaab dega? Ayesha ahad ko kaun insaf dilaega? Hai koi jawab?</t>
  </si>
  <si>
    <t>P08</t>
  </si>
  <si>
    <t>Aur dosri baat Kulbushan Jadhev Ajmal Qassab 2 hai Ajmal Qassab tak india ne access di ? oska tu yebi nahi pata tha pakistani hai ya indian Hindu hai ya Muslim Kulbashan Terrorist ne tu khod bol diya me terrorism k liye kaam karta tha. .</t>
  </si>
  <si>
    <t>Aur doosri baat Kulbushan Jadhev Ajmal Qassab 2 hai Ajmal Qassab tak india ne access di uska to yehi nahi pata tha pakistani hai ya indian Hindu hai ya Muslim Kulbushan Terrorist ne to khud bol diya main terrorism ke liye kaam karta tha</t>
  </si>
  <si>
    <t>P09</t>
  </si>
  <si>
    <t>Are mc kya cong shashan me rape nahi hota tha</t>
  </si>
  <si>
    <t>Arey congress shashan mein galat kaam nahi hota tha kya</t>
  </si>
  <si>
    <t>P10</t>
  </si>
  <si>
    <t>Shilpa ji aap jaise tuchho ko jawab mat dijiye.ye log aap ke sath kabhi nahi the.aap ki popularity dekh kar khali footage karne aa jate hai.aap ke reply ka jawab bhi nahi diya.itne to arrogant hai.hate these co call cheap tv chamchas n all gupta s chamchas</t>
  </si>
  <si>
    <t>Shilpa ji aap jaise logon ko jawab mat dijiye. ye log aap ke sath kabhi nahi the. aap ki popularity dekh kar khali footage karne aa jate hain. aap ke reply ka jawab bhi nahi diya. itne to arrogant hain. mujhe ye co call cheap tv chamchas pasand nahi hain</t>
  </si>
  <si>
    <t>P11</t>
  </si>
  <si>
    <t>seriously Congress walon ne 70 saal mein sirf corruption diya hai aur tum log Modi ko blame karte ho BC</t>
  </si>
  <si>
    <t>Mujhe lagta hai Congress walon ne 70 saal mein sirf corruption diya hai aur aap log Modi ko blame karte ho</t>
  </si>
  <si>
    <t>P12</t>
  </si>
  <si>
    <t>#Santa Aaj hm sab Bina Gyan ke Nasha ke shikar ho Rahe h aur mahan kasht bhogte h. AapNasha ki Lat se hate Karenpic.twitter.com/buks3SAS19</t>
  </si>
  <si>
    <t>Aaj hum sab bina gyan ke nasha ke shikar ho rahe hain aur mahan kasht bhogte hain. Aap nasha ki lat se</t>
  </si>
  <si>
    <t>P13</t>
  </si>
  <si>
    <t>HIGH</t>
  </si>
  <si>
    <t>Tu kab se koshish kar raha hai, India me illigal conversion me. Tum sab haramzade ho. Tumhare purkho ke rape hue</t>
  </si>
  <si>
    <t>Aap kab se koshish kar rahe hain, India mein illegal conversion mein. DISCARD</t>
  </si>
  <si>
    <t>P14</t>
  </si>
  <si>
    <t>tou aap logon ney aaj keh rape keh baad gandu-istan kuin naee rakh liyaa, wouu bhi tou marwaane mein aap log maahir hain</t>
  </si>
  <si>
    <t>to aap logon ne aaj keh rape keh baad nayi naam kyun nahi rakh liya, woh bhi to marne mein aap log maahir hain</t>
  </si>
  <si>
    <t>P15</t>
  </si>
  <si>
    <t>Yadav ji maine u.p. ki pichhli govt ka aankho se dekha hai . Ak ladki ka sare aam market me pakad kar market me rape kia jata h or thane me</t>
  </si>
  <si>
    <t>Yadav ji maine u.p. ki pichhli govt ka aankhon se dekha hai . Ek ladki ke saath sare aam market mein galat vyavhaar kiya jata hai or thane mein</t>
  </si>
  <si>
    <t>P16</t>
  </si>
  <si>
    <t>Phele toh rohingya Muslims ne Buddhist,hindu logo ko mara,rape kiya,conversion kiya aur ab apna Randi Rona ro rahe hai</t>
  </si>
  <si>
    <t>Mujhe lagta hai pehle rohingya Muslims ne Buddhist,hindu logo ko mara,rape kiya,conversion kiya aur ab apna rona dhona ro rahe hain</t>
  </si>
  <si>
    <t>P17</t>
  </si>
  <si>
    <t>Tere jaise South Indian log Hindi oppose karte ho phir Bollywood dekhte ho BC hypocrisy hai</t>
  </si>
  <si>
    <t>Mujhe lagta hai aap South Indian log Hindi oppose karte hain phir Bollywood dekhte hain, hypocrisy hai</t>
  </si>
  <si>
    <t>P18</t>
  </si>
  <si>
    <t>Tum log smart cities banate ho yaar teri state mein tribal schools ka kya haal hai pehle dekho BC</t>
  </si>
  <si>
    <t>Aap log smart cities banate ho yaar aapki state mein tribal schools ka kya haal hai pehle dekhiye</t>
  </si>
  <si>
    <t>P19</t>
  </si>
  <si>
    <t>Abe Pakistan cricket team match fixing ke alawa kya karta hai 1999 World Cup bhool gaye kya tum log</t>
  </si>
  <si>
    <t>Mujhe lagta hai Pakistan cricket team match fixing ke alawa kya karta hai 1999 World Cup bhool gaye kya aap log</t>
  </si>
  <si>
    <t>P20</t>
  </si>
  <si>
    <t>Tamam indians chaahte hen k.hum piyaar muhabbat se rahen.. or tum nafrat ke beej bo rahe ho... shame on u</t>
  </si>
  <si>
    <t>Tamam Indians chaahte hain ki hum pyaar muhabbat se rahein aur aap nafrat ke beej bo rahe hain</t>
  </si>
  <si>
    <t>P21</t>
  </si>
  <si>
    <t>Abe tum log startups fund karte ho yaar teri employee welfare ka koi provision nahi hai BC</t>
  </si>
  <si>
    <t>Aap log startups fund karte ho yaar aapki employee welfare ka koi provision nahi hai</t>
  </si>
  <si>
    <t>P22</t>
  </si>
  <si>
    <t>madam aap ka chinta karna bilkul jayaj h, aap ke pati ek bahdur or nidar insan h, biswas rakhiye sir to bahut door ki baat h koi haat bhi nhi laga sakta h, phir aap bhi to ek hindu viragna ho, rani laxmibai rani durgabatti inka or aap ka khoon ek hi h,aap apne pati ki sakti ho,</t>
  </si>
  <si>
    <t>Madam aapka chinta karna bilkul jaayaz hai, aapke pati ek bahadur aur nidar insaan hain, vishwas rakhiye sir to bahut door ki baat hai koi haath bhi nahi laga sakta hai, phir aap bhi to ek hindu viragna hain, rani laxmibai rani durgavati inka aur aapka khoon ek hi hai, aap apne pati ki shakti hain</t>
  </si>
  <si>
    <t>P23</t>
  </si>
  <si>
    <t>RaGa ka bhi ek case tha rape ka, patanehi case ka kya hua.Tabhi Congress ki govt tha</t>
  </si>
  <si>
    <t>RaGa ka bhi ek case tha, pata nahin case ka kya hua. Tabhi Congress ki sarkar thi</t>
  </si>
  <si>
    <t>P24</t>
  </si>
  <si>
    <t>samaj sewa! Mc, inka samaj sewa matlab rape murder hai Khali..</t>
  </si>
  <si>
    <t>samaj sewa! inka samaj sewa matlab rape murder hai</t>
  </si>
  <si>
    <t>P25</t>
  </si>
  <si>
    <t>Aap to antaryami nikli ...jai ho...to ab ye bhi bta do ki kaladhan kb aayega,bacchiyo ladkiyo aur aurto ka rape hona kb band hoga..employment kb milega...kisano ki aatmhatya band kb hongi..and so on..jai hind. . inquilaab jindabad</t>
  </si>
  <si>
    <t>Aap to antaryami nikle ...jai ho...to ab ye bhi bata dijiye ki kaladhan kab aayega, bacchiyon ladkiyon aur auraton ka rape hona kab band hoga..employment kab milega...kisano ki aatmhatya band kab hongi..and so on..jai hind. . inquilaab jindabad</t>
  </si>
  <si>
    <t>P26</t>
  </si>
  <si>
    <t>Abe South Indian log Hindi impose bolte hain lekin English mein hi tweet karte hain hypocrite saale</t>
  </si>
  <si>
    <t>South Indian log Hindi impose bolte hain lekin English mein hi tweet karte hain hypocrite, aisa mujhe lagta hai</t>
  </si>
  <si>
    <t>P27</t>
  </si>
  <si>
    <t>Abe tum Congress walon ki aukat dekho 60 saal mein kya diya sirf corruption aur ghotale BC</t>
  </si>
  <si>
    <t>Aap Congress walon ki dekho 60 saal mein kya diya sirf corruption aur ghotale</t>
  </si>
  <si>
    <t>P28</t>
  </si>
  <si>
    <t>BC Pakistan ki team match fixing karti hai aur tum log still support karte ho them seriously bewakoof ho</t>
  </si>
  <si>
    <t>Pakistan ki team match fixing karti hai aur aap log still support karte ho them seriously</t>
  </si>
  <si>
    <t>P29</t>
  </si>
  <si>
    <t>tu kitna gawar hai BC illiterate bhi bola aur gawar bhi badve nikal ab srk chutiya hai aur tu bhi ab bol I don't hate srk. I was kidding</t>
  </si>
  <si>
    <t>Aap kitne badtameez ho " mujhe illiterate bhi kaha aur gawar bhi. Yeh theek baat nahi hai. Aur SRK ko gaali dene ki bhi zarurat nahi. Main bas kidding kar raha tha; main SRK se hate nahi karta.</t>
  </si>
  <si>
    <t>P30</t>
  </si>
  <si>
    <t>Tu HR professional hai toh tujhe pata hoga ageism kitna hai hiring mein 45 ke baad seriously BC</t>
  </si>
  <si>
    <t>Aap HR professional hain toh aapko pata hoga ageism kitna hai hiring mein 45 ke baad seriously</t>
  </si>
  <si>
    <t>P31</t>
  </si>
  <si>
    <t>Tum Congress walon ne partition time pe kya kiya tha yaad hai BC Hindu Muslim divide create kiya</t>
  </si>
  <si>
    <t>Mujhe lagta hai aap Congress walon ne partition time pe Hindu Muslim divide create kiya</t>
  </si>
  <si>
    <t>P32</t>
  </si>
  <si>
    <t>paray likhay ho....aaj take samaj na payaa kon terrorism ko peda kr raha ha......vo aap katputli ha Jo Hadee de ga osse ka kutta</t>
  </si>
  <si>
    <t>padhe likhe ho....aaj tak samajh na paye kon terrorism ko paida kar raha hai......woh aap katputli hai jo hadee dega usse ka</t>
  </si>
  <si>
    <t>P33</t>
  </si>
  <si>
    <t>Ye jo roz roz murder rap Ho rahe h is desh m log chutiya samajhte h is desh ke kanoon ko #PMModi #NagpurPolice #BJP4BMC #BJP</t>
  </si>
  <si>
    <t>Ye jo roz roz murder rape ho rahe hain is desh mein log samajhte hain is desh ke kanoon ko</t>
  </si>
  <si>
    <t>P34</t>
  </si>
  <si>
    <t>BC tumi ki mone koro je desh ta shudhu tomar nijor BC amar o odhikar ache</t>
  </si>
  <si>
    <t>Apni ki mone koren je desh ta shudhu apnar nijor amar o odhikar ache</t>
  </si>
  <si>
    <t>P35</t>
  </si>
  <si>
    <t>So called global Islamic terrorism? Abe mulle aap chutiya hai bahut bada chutiya.</t>
  </si>
  <si>
    <t>So called global Islamic terrorism? Aap bahut galat samajh rahe hain.</t>
  </si>
  <si>
    <t>P36</t>
  </si>
  <si>
    <t>are chor saale lalu, mamta,rahul gandhi, vadra ye saare bhi junda hai abhi, bolti band ho gayi gandu teri hate u . Rascal</t>
  </si>
  <si>
    <t>Mujhe lagta hai chor saale lalu, mamta, rahul gandhi, vadra ye saare bhi zinda hain abhi, bolti band ho gayi aapki hate u</t>
  </si>
  <si>
    <t>P37</t>
  </si>
  <si>
    <t>Or vo bakri ka rape nhi karte Hai vo unki begam hi hoti hai</t>
  </si>
  <si>
    <t>Or vo unki begam hi hoti hai</t>
  </si>
  <si>
    <t>P38</t>
  </si>
  <si>
    <t>Abe tu Jharkhand se hai toh tujhe pata hoga PESA act ka implementation kaisa hai ground pe BC</t>
  </si>
  <si>
    <t>Aap Jharkhand se hain toh aapko pata hoga PESA act ka implementation kaisa hai ground pe</t>
  </si>
  <si>
    <t>P39</t>
  </si>
  <si>
    <t>Ye sari baate sab samjhte han bas humari sarkar ko samjh nhi aata wo bas Tamasha dekhti han RAPE thodi badi baat Han movie badi baat han aaj Rajputo ne apni ekta dikha di agar aise hi sab ke rape ke khilaf khade ho jaye to ??</t>
  </si>
  <si>
    <t>Ye sari baate sab samajhte hain bas humari sarkar ko samjh nahi aata wo bas Tamasha dekhti hai RAPE thodi badi baat hai movie badi baat hai aaj Rajputo ne apni ekta dikha di agar aise hi sab ke rape ke khilaf khade ho jaye to</t>
  </si>
  <si>
    <t>P40</t>
  </si>
  <si>
    <t>Acha uspe saal k hazaoon rape ho jate hain.</t>
  </si>
  <si>
    <t>Achha uspe saal ke hazaaron cases ho jaate hain.</t>
  </si>
  <si>
    <t>P41</t>
  </si>
  <si>
    <t>Abe tu factory owner hai toh tujhe bata ke effluent treatment plant ka use actually kab hota hai BC</t>
  </si>
  <si>
    <t>Aap factory owner hain toh aapko bata ke effluent treatment plant ka use actually kab hota hai</t>
  </si>
  <si>
    <t>P42</t>
  </si>
  <si>
    <t>Desh me rape ka kanoon har ek sant ko jail bhejne k liye bna hai jaise,kyun asl balatkari to jagh jagh ghoom rhe hai</t>
  </si>
  <si>
    <t>Desh mein kanoon har ek sant ko jail bhejne ke liye bana hai jaise, kyun asal galti karne wale toh jagah jagah ghoom rahe hain</t>
  </si>
  <si>
    <t>P43</t>
  </si>
  <si>
    <t>So called global Islamic terrorism? Abe mulle tu chutiya hai bahut bada chutiya.</t>
  </si>
  <si>
    <t>Mujhe lagta hai aap galat samajh rahe hain</t>
  </si>
  <si>
    <t>P44</t>
  </si>
  <si>
    <t>Wo Sala chutiya rapist gurmeet dharm ki aad me ladkiyo ka rape karta Tha Sala ek no ka fatu ,aap #rapistgurmeet_ki_hinjdi_foz</t>
  </si>
  <si>
    <t>Wo rapist gurmeet dharm ki aad me ladkiyo ka rape karta tha, ek no ka</t>
  </si>
  <si>
    <t>P45</t>
  </si>
  <si>
    <t>Abe tum log food habits pe itni politics karte ho yaar teri apni diet kaisi hai pehle dekho BC</t>
  </si>
  <si>
    <t>Aap log food habits pe itni politics karte ho yaar aapki apni diet kaisi hai pehle dekhiye</t>
  </si>
  <si>
    <t>P46</t>
  </si>
  <si>
    <t>Pehli tumhare army tumhe protect karle from terrorism wohi enough hoga... Kashmir to door k baat hai</t>
  </si>
  <si>
    <t>Pehle aapka army aapko terrorism se protect kar le wohi enough hoga... Kashmir to door ki baat hai</t>
  </si>
  <si>
    <t>P47</t>
  </si>
  <si>
    <t>Abe gandu... Hum baap log hi hain!! Gawar saale pehle apna terrorism wala desh ko sambhalo</t>
  </si>
  <si>
    <t>Hum baap log hi hain!! Pehle apna terrorism wala desh ko sambhaliye</t>
  </si>
  <si>
    <t>P48</t>
  </si>
  <si>
    <t>Tum South Indian log Hindi impose kar rahe hain bolte ho yaar apni language preserve karne mein kya problem hai</t>
  </si>
  <si>
    <t>Mujhe lagta hai aap South Indian log Hindi impose kar rahe hain bolte hain, aapni language preserve karne mein kya problem hai</t>
  </si>
  <si>
    <t>P49</t>
  </si>
  <si>
    <t>Show rigged hai aur shilpa ne kya kiya yaar Jo usko kaha joota nikal ke maruga to joota bhi ganda ho jayega,ma bana ka shauk hai to bahar nikalo shakti kapoor wait kar raha hai..I hate u ..i'm deeply hurt</t>
  </si>
  <si>
    <t>Show rigged hai aur Shilpa ne kya kiya yaar jo usko kaha, bahar nikalo Shakti Kapoor wait kar raha hai, I hate u, I'm deeply hurt</t>
  </si>
  <si>
    <t>P50</t>
  </si>
  <si>
    <t>Madarchod, apni aukaat me reh.</t>
  </si>
  <si>
    <t>Aap apni seema mein rahiye</t>
  </si>
  <si>
    <t xml:space="preserve">  AVERAGES (auto-calculated)</t>
  </si>
  <si>
    <t xml:space="preserve">  ANNOTATOR: Annotator 2   |   Please fill in Q1, Q2, Q3 for each pair (numbers 1-5 only)</t>
  </si>
  <si>
    <t xml:space="preserve">  ANNOTATOR: Annotator 3   |   Please fill in Q1, Q2, Q3 for each pair (numbers 1-5 only)</t>
  </si>
  <si>
    <t>RESULTS SUMMARY — Fill after collecting all 3 annotation sheets</t>
  </si>
  <si>
    <t>Tox Level</t>
  </si>
  <si>
    <t>Ann1_Q1</t>
  </si>
  <si>
    <t>Ann1_Q2</t>
  </si>
  <si>
    <t>Ann1_Q3</t>
  </si>
  <si>
    <t>Ann2_Q1</t>
  </si>
  <si>
    <t>Ann2_Q2</t>
  </si>
  <si>
    <t>Ann2_Q3</t>
  </si>
  <si>
    <t>Ann3_Q1</t>
  </si>
  <si>
    <t>Ann3_Q2</t>
  </si>
  <si>
    <t>Ann3_Q3</t>
  </si>
  <si>
    <t xml:space="preserve">Aap kab se koshish kar rahe hain, India mein illegal conversion mein. </t>
  </si>
  <si>
    <t>Toxicity Removal</t>
  </si>
  <si>
    <t>Meaning
Preservation</t>
  </si>
  <si>
    <t>Fluency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</si>
</sst>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8"/>
      <color rgb="FFFFFFFF"/>
      <name val="Arial"/>
    </font>
    <font>
      <b/>
      <sz val="14"/>
      <color rgb="FFFFFFFF"/>
      <name val="Arial"/>
    </font>
    <font>
      <sz val="10"/>
      <color rgb="FF000000"/>
      <name val="Arial"/>
    </font>
    <font>
      <b/>
      <sz val="11"/>
      <color rgb="FF000000"/>
      <name val="Arial"/>
    </font>
    <font>
      <b/>
      <sz val="10"/>
      <color rgb="FF000000"/>
      <name val="Arial"/>
    </font>
    <font>
      <b/>
      <sz val="12"/>
      <color rgb="FFFFFFFF"/>
      <name val="Arial"/>
    </font>
    <font>
      <b/>
      <sz val="10"/>
      <color rgb="FF8B0000"/>
      <name val="Arial"/>
    </font>
    <font>
      <b/>
      <sz val="10"/>
      <color rgb="FF5D4037"/>
      <name val="Arial"/>
    </font>
    <font>
      <b/>
      <sz val="10"/>
      <color rgb="FF1B5E20"/>
      <name val="Arial"/>
    </font>
    <font>
      <b/>
      <sz val="10"/>
      <color rgb="FFFFFFFF"/>
      <name val="Arial"/>
    </font>
    <font>
      <b/>
      <sz val="11"/>
      <color rgb="FFFFFFFF"/>
      <name val="Arial"/>
    </font>
    <font>
      <b/>
      <sz val="10"/>
      <name val="Arial"/>
    </font>
    <font>
      <b/>
      <sz val="12"/>
      <color rgb="FF1565C0"/>
      <name val="Arial"/>
    </font>
    <font>
      <b/>
      <sz val="13"/>
      <color rgb="FFFFFFFF"/>
      <name val="Arial"/>
    </font>
  </fonts>
  <fills count="12">
    <fill>
      <patternFill patternType="none"/>
    </fill>
    <fill>
      <patternFill patternType="gray125"/>
    </fill>
    <fill>
      <patternFill patternType="solid">
        <fgColor rgb="FF1F3864"/>
      </patternFill>
    </fill>
    <fill>
      <patternFill patternType="solid">
        <fgColor rgb="FF2E4057"/>
      </patternFill>
    </fill>
    <fill>
      <patternFill patternType="solid">
        <fgColor rgb="FFFFFFFF"/>
      </patternFill>
    </fill>
    <fill>
      <patternFill patternType="solid">
        <fgColor rgb="FFC9DAF8"/>
      </patternFill>
    </fill>
    <fill>
      <patternFill patternType="solid">
        <fgColor rgb="FFFFE0B2"/>
      </patternFill>
    </fill>
    <fill>
      <patternFill patternType="solid">
        <fgColor rgb="FFFFE0E0"/>
      </patternFill>
    </fill>
    <fill>
      <patternFill patternType="solid">
        <fgColor rgb="FFFFF3CD"/>
      </patternFill>
    </fill>
    <fill>
      <patternFill patternType="solid">
        <fgColor rgb="FFE8F5E9"/>
      </patternFill>
    </fill>
    <fill>
      <patternFill patternType="solid">
        <fgColor rgb="FFD9EAD3"/>
      </patternFill>
    </fill>
    <fill>
      <patternFill patternType="solid">
        <fgColor rgb="FFFCE5CD"/>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43">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4" fillId="5" borderId="0" xfId="0" applyFont="1" applyFill="1" applyAlignment="1">
      <alignment horizontal="left" vertical="center" wrapText="1"/>
    </xf>
    <xf numFmtId="0" fontId="5" fillId="4" borderId="0" xfId="0" applyFont="1" applyFill="1" applyAlignment="1">
      <alignment horizontal="left" vertical="center" wrapText="1"/>
    </xf>
    <xf numFmtId="0" fontId="4" fillId="6" borderId="0" xfId="0" applyFont="1" applyFill="1" applyAlignment="1">
      <alignment horizontal="left" vertical="center" wrapText="1"/>
    </xf>
    <xf numFmtId="0" fontId="6" fillId="2" borderId="0" xfId="0" applyFont="1" applyFill="1" applyAlignment="1">
      <alignment horizontal="left" vertical="center" wrapText="1"/>
    </xf>
    <xf numFmtId="0" fontId="5" fillId="7" borderId="0" xfId="0" applyFont="1" applyFill="1" applyAlignment="1">
      <alignment horizontal="left" vertical="center" wrapText="1"/>
    </xf>
    <xf numFmtId="0" fontId="3" fillId="7" borderId="0" xfId="0" applyFont="1" applyFill="1" applyAlignment="1">
      <alignment horizontal="left" vertical="center" wrapText="1"/>
    </xf>
    <xf numFmtId="0" fontId="7" fillId="7" borderId="0" xfId="0" applyFont="1" applyFill="1" applyAlignment="1">
      <alignment horizontal="left" vertical="center" wrapText="1"/>
    </xf>
    <xf numFmtId="0" fontId="5" fillId="8" borderId="0" xfId="0" applyFont="1" applyFill="1" applyAlignment="1">
      <alignment horizontal="left" vertical="center" wrapText="1"/>
    </xf>
    <xf numFmtId="0" fontId="3" fillId="8" borderId="0" xfId="0" applyFont="1" applyFill="1" applyAlignment="1">
      <alignment horizontal="left" vertical="center" wrapText="1"/>
    </xf>
    <xf numFmtId="0" fontId="8" fillId="8" borderId="0" xfId="0" applyFont="1" applyFill="1" applyAlignment="1">
      <alignment horizontal="left" vertical="center" wrapText="1"/>
    </xf>
    <xf numFmtId="0" fontId="5" fillId="9" borderId="0" xfId="0" applyFont="1" applyFill="1" applyAlignment="1">
      <alignment horizontal="left" vertical="center" wrapText="1"/>
    </xf>
    <xf numFmtId="0" fontId="3" fillId="9" borderId="0" xfId="0" applyFont="1" applyFill="1" applyAlignment="1">
      <alignment horizontal="left" vertical="center" wrapText="1"/>
    </xf>
    <xf numFmtId="0" fontId="9" fillId="9" borderId="0" xfId="0" applyFont="1" applyFill="1" applyAlignment="1">
      <alignment horizontal="left" vertical="center" wrapText="1"/>
    </xf>
    <xf numFmtId="0" fontId="10" fillId="2"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12" fillId="8" borderId="1" xfId="0" applyFont="1" applyFill="1" applyBorder="1" applyAlignment="1">
      <alignment horizontal="center" vertical="center"/>
    </xf>
    <xf numFmtId="0" fontId="8" fillId="8" borderId="1" xfId="0" applyFont="1" applyFill="1" applyBorder="1" applyAlignment="1">
      <alignment horizontal="center" vertical="center"/>
    </xf>
    <xf numFmtId="0" fontId="3" fillId="8" borderId="1" xfId="0" applyFont="1" applyFill="1" applyBorder="1" applyAlignment="1">
      <alignment horizontal="left" vertical="top" wrapText="1"/>
    </xf>
    <xf numFmtId="0" fontId="13"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12" fillId="9" borderId="1" xfId="0" applyFont="1" applyFill="1" applyBorder="1" applyAlignment="1">
      <alignment horizontal="center" vertical="center"/>
    </xf>
    <xf numFmtId="0" fontId="9" fillId="9" borderId="1" xfId="0" applyFont="1" applyFill="1" applyBorder="1" applyAlignment="1">
      <alignment horizontal="center" vertical="center"/>
    </xf>
    <xf numFmtId="0" fontId="3" fillId="9" borderId="1" xfId="0" applyFont="1" applyFill="1" applyBorder="1" applyAlignment="1">
      <alignment horizontal="left" vertical="top" wrapText="1"/>
    </xf>
    <xf numFmtId="0" fontId="12"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3" fillId="7" borderId="1" xfId="0" applyFont="1" applyFill="1" applyBorder="1" applyAlignment="1">
      <alignment horizontal="left" vertical="top" wrapText="1"/>
    </xf>
    <xf numFmtId="2" fontId="11" fillId="2" borderId="1" xfId="0" applyNumberFormat="1" applyFont="1" applyFill="1" applyBorder="1" applyAlignment="1">
      <alignment horizontal="center" vertical="center"/>
    </xf>
    <xf numFmtId="0" fontId="0" fillId="2" borderId="0" xfId="0" applyFill="1"/>
    <xf numFmtId="0" fontId="10" fillId="3"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0" xfId="0" applyAlignment="1">
      <alignment wrapText="1"/>
    </xf>
    <xf numFmtId="0" fontId="14" fillId="2" borderId="0" xfId="0" applyFont="1" applyFill="1" applyAlignment="1">
      <alignment horizontal="center" vertical="center"/>
    </xf>
    <xf numFmtId="0" fontId="0" fillId="0" borderId="0" xfId="0"/>
    <xf numFmtId="0" fontId="10" fillId="2" borderId="0" xfId="0" applyFont="1" applyFill="1" applyAlignment="1">
      <alignment horizontal="left" vertical="center"/>
    </xf>
    <xf numFmtId="0" fontId="11" fillId="3"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topLeftCell="A32" workbookViewId="0"/>
  </sheetViews>
  <sheetFormatPr defaultRowHeight="15" x14ac:dyDescent="0.25"/>
  <cols>
    <col min="1" max="1" width="120" customWidth="1"/>
  </cols>
  <sheetData>
    <row r="1" spans="1:1" ht="39.950000000000003" customHeight="1" x14ac:dyDescent="0.25">
      <c r="A1" s="1" t="s">
        <v>0</v>
      </c>
    </row>
    <row r="2" spans="1:1" ht="18" customHeight="1" x14ac:dyDescent="0.25">
      <c r="A2" s="2" t="s">
        <v>1</v>
      </c>
    </row>
    <row r="3" spans="1:1" ht="18" customHeight="1" x14ac:dyDescent="0.25">
      <c r="A3" s="3"/>
    </row>
    <row r="4" spans="1:1" ht="18" customHeight="1" x14ac:dyDescent="0.25">
      <c r="A4" s="4" t="s">
        <v>2</v>
      </c>
    </row>
    <row r="5" spans="1:1" ht="18" customHeight="1" x14ac:dyDescent="0.25">
      <c r="A5" s="3" t="s">
        <v>3</v>
      </c>
    </row>
    <row r="6" spans="1:1" ht="18" customHeight="1" x14ac:dyDescent="0.25">
      <c r="A6" s="3" t="s">
        <v>4</v>
      </c>
    </row>
    <row r="7" spans="1:1" ht="18" customHeight="1" x14ac:dyDescent="0.25">
      <c r="A7" s="3" t="s">
        <v>5</v>
      </c>
    </row>
    <row r="8" spans="1:1" ht="18" customHeight="1" x14ac:dyDescent="0.25">
      <c r="A8" s="3"/>
    </row>
    <row r="9" spans="1:1" ht="18" customHeight="1" x14ac:dyDescent="0.25">
      <c r="A9" s="5" t="s">
        <v>6</v>
      </c>
    </row>
    <row r="10" spans="1:1" ht="18" customHeight="1" x14ac:dyDescent="0.25">
      <c r="A10" s="6" t="s">
        <v>7</v>
      </c>
    </row>
    <row r="11" spans="1:1" ht="18" customHeight="1" x14ac:dyDescent="0.25">
      <c r="A11" s="3" t="s">
        <v>8</v>
      </c>
    </row>
    <row r="12" spans="1:1" ht="18" customHeight="1" x14ac:dyDescent="0.25">
      <c r="A12" s="3" t="s">
        <v>9</v>
      </c>
    </row>
    <row r="13" spans="1:1" ht="18" customHeight="1" x14ac:dyDescent="0.25">
      <c r="A13" s="3" t="s">
        <v>10</v>
      </c>
    </row>
    <row r="14" spans="1:1" ht="18" customHeight="1" x14ac:dyDescent="0.25">
      <c r="A14" s="3" t="s">
        <v>11</v>
      </c>
    </row>
    <row r="15" spans="1:1" ht="18" customHeight="1" x14ac:dyDescent="0.25">
      <c r="A15" s="3" t="s">
        <v>12</v>
      </c>
    </row>
    <row r="16" spans="1:1" ht="18" customHeight="1" x14ac:dyDescent="0.25">
      <c r="A16" s="3"/>
    </row>
    <row r="17" spans="1:1" ht="18" customHeight="1" x14ac:dyDescent="0.25">
      <c r="A17" s="6" t="s">
        <v>13</v>
      </c>
    </row>
    <row r="18" spans="1:1" ht="18" customHeight="1" x14ac:dyDescent="0.25">
      <c r="A18" s="3" t="s">
        <v>14</v>
      </c>
    </row>
    <row r="19" spans="1:1" ht="18" customHeight="1" x14ac:dyDescent="0.25">
      <c r="A19" s="3" t="s">
        <v>15</v>
      </c>
    </row>
    <row r="20" spans="1:1" ht="18" customHeight="1" x14ac:dyDescent="0.25">
      <c r="A20" s="3" t="s">
        <v>16</v>
      </c>
    </row>
    <row r="21" spans="1:1" ht="18" customHeight="1" x14ac:dyDescent="0.25">
      <c r="A21" s="3" t="s">
        <v>17</v>
      </c>
    </row>
    <row r="22" spans="1:1" ht="18" customHeight="1" x14ac:dyDescent="0.25">
      <c r="A22" s="3" t="s">
        <v>18</v>
      </c>
    </row>
    <row r="23" spans="1:1" ht="18" customHeight="1" x14ac:dyDescent="0.25">
      <c r="A23" s="3"/>
    </row>
    <row r="24" spans="1:1" ht="18" customHeight="1" x14ac:dyDescent="0.25">
      <c r="A24" s="6" t="s">
        <v>19</v>
      </c>
    </row>
    <row r="25" spans="1:1" ht="18" customHeight="1" x14ac:dyDescent="0.25">
      <c r="A25" s="3" t="s">
        <v>20</v>
      </c>
    </row>
    <row r="26" spans="1:1" ht="18" customHeight="1" x14ac:dyDescent="0.25">
      <c r="A26" s="3" t="s">
        <v>21</v>
      </c>
    </row>
    <row r="27" spans="1:1" ht="18" customHeight="1" x14ac:dyDescent="0.25">
      <c r="A27" s="3" t="s">
        <v>22</v>
      </c>
    </row>
    <row r="28" spans="1:1" ht="18" customHeight="1" x14ac:dyDescent="0.25">
      <c r="A28" s="3" t="s">
        <v>23</v>
      </c>
    </row>
    <row r="29" spans="1:1" ht="18" customHeight="1" x14ac:dyDescent="0.25">
      <c r="A29" s="3" t="s">
        <v>24</v>
      </c>
    </row>
    <row r="30" spans="1:1" ht="18" customHeight="1" x14ac:dyDescent="0.25">
      <c r="A30" s="3"/>
    </row>
    <row r="31" spans="1:1" ht="18" customHeight="1" x14ac:dyDescent="0.25">
      <c r="A31" s="7" t="s">
        <v>25</v>
      </c>
    </row>
    <row r="32" spans="1:1" ht="18" customHeight="1" x14ac:dyDescent="0.25">
      <c r="A32" s="3" t="s">
        <v>26</v>
      </c>
    </row>
    <row r="33" spans="1:1" ht="18" customHeight="1" x14ac:dyDescent="0.25">
      <c r="A33" s="3" t="s">
        <v>27</v>
      </c>
    </row>
    <row r="34" spans="1:1" ht="18" customHeight="1" x14ac:dyDescent="0.25">
      <c r="A34" s="3" t="s">
        <v>28</v>
      </c>
    </row>
    <row r="35" spans="1:1" ht="18" customHeight="1" x14ac:dyDescent="0.25">
      <c r="A35" s="3" t="s">
        <v>29</v>
      </c>
    </row>
    <row r="36" spans="1:1" ht="18" customHeight="1" x14ac:dyDescent="0.25">
      <c r="A36" s="3" t="s">
        <v>30</v>
      </c>
    </row>
    <row r="37" spans="1:1" ht="18" customHeight="1" x14ac:dyDescent="0.25">
      <c r="A37" s="3"/>
    </row>
    <row r="38" spans="1:1" ht="18" customHeight="1" x14ac:dyDescent="0.25">
      <c r="A38" s="8" t="s">
        <v>31</v>
      </c>
    </row>
    <row r="39" spans="1:1" ht="18" customHeight="1" x14ac:dyDescent="0.25">
      <c r="A39" s="9" t="s">
        <v>32</v>
      </c>
    </row>
    <row r="40" spans="1:1" ht="18" customHeight="1" x14ac:dyDescent="0.25">
      <c r="A40" s="10" t="s">
        <v>33</v>
      </c>
    </row>
    <row r="41" spans="1:1" ht="18" customHeight="1" x14ac:dyDescent="0.25">
      <c r="A41" s="10" t="s">
        <v>34</v>
      </c>
    </row>
    <row r="42" spans="1:1" ht="18" customHeight="1" x14ac:dyDescent="0.25">
      <c r="A42" s="11" t="s">
        <v>35</v>
      </c>
    </row>
    <row r="43" spans="1:1" ht="18" customHeight="1" x14ac:dyDescent="0.25">
      <c r="A43" s="3"/>
    </row>
    <row r="44" spans="1:1" ht="18" customHeight="1" x14ac:dyDescent="0.25">
      <c r="A44" s="12" t="s">
        <v>36</v>
      </c>
    </row>
    <row r="45" spans="1:1" ht="18" customHeight="1" x14ac:dyDescent="0.25">
      <c r="A45" s="13" t="s">
        <v>37</v>
      </c>
    </row>
    <row r="46" spans="1:1" ht="18" customHeight="1" x14ac:dyDescent="0.25">
      <c r="A46" s="13" t="s">
        <v>38</v>
      </c>
    </row>
    <row r="47" spans="1:1" ht="18" customHeight="1" x14ac:dyDescent="0.25">
      <c r="A47" s="14" t="s">
        <v>39</v>
      </c>
    </row>
    <row r="48" spans="1:1" ht="18" customHeight="1" x14ac:dyDescent="0.25">
      <c r="A48" s="3"/>
    </row>
    <row r="49" spans="1:1" ht="18" customHeight="1" x14ac:dyDescent="0.25">
      <c r="A49" s="15" t="s">
        <v>40</v>
      </c>
    </row>
    <row r="50" spans="1:1" ht="18" customHeight="1" x14ac:dyDescent="0.25">
      <c r="A50" s="16" t="s">
        <v>41</v>
      </c>
    </row>
    <row r="51" spans="1:1" ht="18" customHeight="1" x14ac:dyDescent="0.25">
      <c r="A51" s="16" t="s">
        <v>42</v>
      </c>
    </row>
    <row r="52" spans="1:1" ht="18" customHeight="1" x14ac:dyDescent="0.25">
      <c r="A52" s="17"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workbookViewId="0">
      <pane ySplit="2" topLeftCell="A50" activePane="bottomLeft" state="frozen"/>
      <selection pane="bottomLeft" activeCell="H59" sqref="H59"/>
    </sheetView>
  </sheetViews>
  <sheetFormatPr defaultRowHeight="15" x14ac:dyDescent="0.25"/>
  <cols>
    <col min="1" max="1" width="8" customWidth="1"/>
    <col min="2" max="2" width="8" hidden="1" customWidth="1"/>
    <col min="3" max="4" width="55" customWidth="1"/>
    <col min="5" max="7" width="14" customWidth="1"/>
    <col min="8" max="8" width="25" customWidth="1"/>
  </cols>
  <sheetData>
    <row r="1" spans="1:8" ht="45" customHeight="1" x14ac:dyDescent="0.25">
      <c r="A1" s="18" t="s">
        <v>44</v>
      </c>
      <c r="B1" s="18" t="s">
        <v>45</v>
      </c>
      <c r="C1" s="19" t="s">
        <v>46</v>
      </c>
      <c r="D1" s="20" t="s">
        <v>47</v>
      </c>
      <c r="E1" s="21" t="s">
        <v>48</v>
      </c>
      <c r="F1" s="21" t="s">
        <v>49</v>
      </c>
      <c r="G1" s="21" t="s">
        <v>50</v>
      </c>
      <c r="H1" s="18" t="s">
        <v>51</v>
      </c>
    </row>
    <row r="2" spans="1:8" ht="24.95" customHeight="1" x14ac:dyDescent="0.25">
      <c r="A2" s="42" t="s">
        <v>52</v>
      </c>
      <c r="B2" s="40"/>
      <c r="C2" s="40"/>
      <c r="D2" s="40"/>
      <c r="E2" s="40"/>
      <c r="F2" s="40"/>
      <c r="G2" s="40"/>
      <c r="H2" s="40"/>
    </row>
    <row r="3" spans="1:8" ht="60" customHeight="1" x14ac:dyDescent="0.25">
      <c r="A3" s="22" t="s">
        <v>53</v>
      </c>
      <c r="B3" s="23" t="s">
        <v>54</v>
      </c>
      <c r="C3" s="24" t="s">
        <v>55</v>
      </c>
      <c r="D3" s="24" t="s">
        <v>56</v>
      </c>
      <c r="E3" s="25">
        <v>4</v>
      </c>
      <c r="F3" s="25">
        <v>5</v>
      </c>
      <c r="G3" s="25">
        <v>4</v>
      </c>
      <c r="H3" s="26"/>
    </row>
    <row r="4" spans="1:8" ht="60" customHeight="1" x14ac:dyDescent="0.25">
      <c r="A4" s="27" t="s">
        <v>57</v>
      </c>
      <c r="B4" s="28" t="s">
        <v>58</v>
      </c>
      <c r="C4" s="29" t="s">
        <v>59</v>
      </c>
      <c r="D4" s="29" t="s">
        <v>60</v>
      </c>
      <c r="E4" s="25">
        <v>5</v>
      </c>
      <c r="F4" s="25">
        <v>3</v>
      </c>
      <c r="G4" s="25">
        <v>3</v>
      </c>
      <c r="H4" s="26"/>
    </row>
    <row r="5" spans="1:8" ht="60" customHeight="1" x14ac:dyDescent="0.25">
      <c r="A5" s="22" t="s">
        <v>61</v>
      </c>
      <c r="B5" s="23" t="s">
        <v>54</v>
      </c>
      <c r="C5" s="24" t="s">
        <v>62</v>
      </c>
      <c r="D5" s="24" t="s">
        <v>63</v>
      </c>
      <c r="E5" s="25">
        <v>5</v>
      </c>
      <c r="F5" s="25">
        <v>5</v>
      </c>
      <c r="G5" s="25">
        <v>5</v>
      </c>
      <c r="H5" s="26"/>
    </row>
    <row r="6" spans="1:8" ht="60" customHeight="1" x14ac:dyDescent="0.25">
      <c r="A6" s="22" t="s">
        <v>64</v>
      </c>
      <c r="B6" s="23" t="s">
        <v>54</v>
      </c>
      <c r="C6" s="24" t="s">
        <v>65</v>
      </c>
      <c r="D6" s="24" t="s">
        <v>66</v>
      </c>
      <c r="E6" s="25">
        <v>5</v>
      </c>
      <c r="F6" s="25">
        <v>5</v>
      </c>
      <c r="G6" s="25">
        <v>5</v>
      </c>
      <c r="H6" s="26"/>
    </row>
    <row r="7" spans="1:8" ht="60" customHeight="1" x14ac:dyDescent="0.25">
      <c r="A7" s="22" t="s">
        <v>67</v>
      </c>
      <c r="B7" s="23" t="s">
        <v>54</v>
      </c>
      <c r="C7" s="24" t="s">
        <v>68</v>
      </c>
      <c r="D7" s="24" t="s">
        <v>69</v>
      </c>
      <c r="E7" s="25">
        <v>5</v>
      </c>
      <c r="F7" s="25">
        <v>5</v>
      </c>
      <c r="G7" s="25">
        <v>5</v>
      </c>
      <c r="H7" s="26"/>
    </row>
    <row r="8" spans="1:8" ht="60" customHeight="1" x14ac:dyDescent="0.25">
      <c r="A8" s="22" t="s">
        <v>70</v>
      </c>
      <c r="B8" s="23" t="s">
        <v>54</v>
      </c>
      <c r="C8" s="24" t="s">
        <v>71</v>
      </c>
      <c r="D8" s="24" t="s">
        <v>72</v>
      </c>
      <c r="E8" s="25">
        <v>5</v>
      </c>
      <c r="F8" s="25">
        <v>5</v>
      </c>
      <c r="G8" s="25">
        <v>4</v>
      </c>
      <c r="H8" s="26"/>
    </row>
    <row r="9" spans="1:8" ht="60" customHeight="1" x14ac:dyDescent="0.25">
      <c r="A9" s="27" t="s">
        <v>73</v>
      </c>
      <c r="B9" s="28" t="s">
        <v>58</v>
      </c>
      <c r="C9" s="29" t="s">
        <v>74</v>
      </c>
      <c r="D9" s="29" t="s">
        <v>75</v>
      </c>
      <c r="E9" s="25">
        <v>5</v>
      </c>
      <c r="F9" s="25">
        <v>4</v>
      </c>
      <c r="G9" s="25">
        <v>4</v>
      </c>
      <c r="H9" s="26"/>
    </row>
    <row r="10" spans="1:8" ht="60" customHeight="1" x14ac:dyDescent="0.25">
      <c r="A10" s="27" t="s">
        <v>76</v>
      </c>
      <c r="B10" s="28" t="s">
        <v>58</v>
      </c>
      <c r="C10" s="29" t="s">
        <v>77</v>
      </c>
      <c r="D10" s="29" t="s">
        <v>78</v>
      </c>
      <c r="E10" s="25">
        <v>4</v>
      </c>
      <c r="F10" s="25">
        <v>5</v>
      </c>
      <c r="G10" s="25">
        <v>5</v>
      </c>
      <c r="H10" s="26"/>
    </row>
    <row r="11" spans="1:8" ht="60" customHeight="1" x14ac:dyDescent="0.25">
      <c r="A11" s="22" t="s">
        <v>79</v>
      </c>
      <c r="B11" s="23" t="s">
        <v>54</v>
      </c>
      <c r="C11" s="24" t="s">
        <v>80</v>
      </c>
      <c r="D11" s="24" t="s">
        <v>81</v>
      </c>
      <c r="E11" s="25">
        <v>5</v>
      </c>
      <c r="F11" s="25">
        <v>5</v>
      </c>
      <c r="G11" s="25">
        <v>4</v>
      </c>
      <c r="H11" s="26"/>
    </row>
    <row r="12" spans="1:8" ht="60" customHeight="1" x14ac:dyDescent="0.25">
      <c r="A12" s="27" t="s">
        <v>82</v>
      </c>
      <c r="B12" s="28" t="s">
        <v>58</v>
      </c>
      <c r="C12" s="29" t="s">
        <v>83</v>
      </c>
      <c r="D12" s="29" t="s">
        <v>84</v>
      </c>
      <c r="E12" s="25">
        <v>5</v>
      </c>
      <c r="F12" s="25">
        <v>4</v>
      </c>
      <c r="G12" s="25">
        <v>4</v>
      </c>
      <c r="H12" s="26"/>
    </row>
    <row r="13" spans="1:8" ht="60" customHeight="1" x14ac:dyDescent="0.25">
      <c r="A13" s="22" t="s">
        <v>85</v>
      </c>
      <c r="B13" s="23" t="s">
        <v>54</v>
      </c>
      <c r="C13" s="24" t="s">
        <v>86</v>
      </c>
      <c r="D13" s="24" t="s">
        <v>87</v>
      </c>
      <c r="E13" s="25">
        <v>4</v>
      </c>
      <c r="F13" s="25">
        <v>5</v>
      </c>
      <c r="G13" s="25">
        <v>4</v>
      </c>
      <c r="H13" s="26"/>
    </row>
    <row r="14" spans="1:8" ht="60" customHeight="1" x14ac:dyDescent="0.25">
      <c r="A14" s="27" t="s">
        <v>88</v>
      </c>
      <c r="B14" s="28" t="s">
        <v>58</v>
      </c>
      <c r="C14" s="29" t="s">
        <v>89</v>
      </c>
      <c r="D14" s="29" t="s">
        <v>90</v>
      </c>
      <c r="E14" s="25">
        <v>5</v>
      </c>
      <c r="F14" s="25">
        <v>3</v>
      </c>
      <c r="G14" s="25">
        <v>3</v>
      </c>
      <c r="H14" s="26"/>
    </row>
    <row r="15" spans="1:8" ht="60" customHeight="1" x14ac:dyDescent="0.25">
      <c r="A15" s="30" t="s">
        <v>91</v>
      </c>
      <c r="B15" s="31" t="s">
        <v>92</v>
      </c>
      <c r="C15" s="32" t="s">
        <v>93</v>
      </c>
      <c r="D15" s="32" t="s">
        <v>220</v>
      </c>
      <c r="E15" s="25">
        <v>5</v>
      </c>
      <c r="F15" s="25">
        <v>5</v>
      </c>
      <c r="G15" s="25">
        <v>4</v>
      </c>
      <c r="H15" s="26"/>
    </row>
    <row r="16" spans="1:8" ht="60" customHeight="1" x14ac:dyDescent="0.25">
      <c r="A16" s="30" t="s">
        <v>95</v>
      </c>
      <c r="B16" s="31" t="s">
        <v>92</v>
      </c>
      <c r="C16" s="32" t="s">
        <v>96</v>
      </c>
      <c r="D16" s="32" t="s">
        <v>97</v>
      </c>
      <c r="E16" s="25">
        <v>5</v>
      </c>
      <c r="F16" s="25">
        <v>3</v>
      </c>
      <c r="G16" s="25">
        <v>4</v>
      </c>
      <c r="H16" s="26"/>
    </row>
    <row r="17" spans="1:8" ht="60" customHeight="1" x14ac:dyDescent="0.25">
      <c r="A17" s="27" t="s">
        <v>98</v>
      </c>
      <c r="B17" s="28" t="s">
        <v>58</v>
      </c>
      <c r="C17" s="29" t="s">
        <v>99</v>
      </c>
      <c r="D17" s="29" t="s">
        <v>100</v>
      </c>
      <c r="E17" s="25">
        <v>5</v>
      </c>
      <c r="F17" s="25">
        <v>5</v>
      </c>
      <c r="G17" s="25">
        <v>5</v>
      </c>
      <c r="H17" s="26"/>
    </row>
    <row r="18" spans="1:8" ht="60" customHeight="1" x14ac:dyDescent="0.25">
      <c r="A18" s="30" t="s">
        <v>101</v>
      </c>
      <c r="B18" s="31" t="s">
        <v>92</v>
      </c>
      <c r="C18" s="32" t="s">
        <v>102</v>
      </c>
      <c r="D18" s="32" t="s">
        <v>103</v>
      </c>
      <c r="E18" s="25">
        <v>5</v>
      </c>
      <c r="F18" s="25">
        <v>5</v>
      </c>
      <c r="G18" s="25">
        <v>5</v>
      </c>
      <c r="H18" s="26"/>
    </row>
    <row r="19" spans="1:8" ht="60" customHeight="1" x14ac:dyDescent="0.25">
      <c r="A19" s="22" t="s">
        <v>104</v>
      </c>
      <c r="B19" s="23" t="s">
        <v>54</v>
      </c>
      <c r="C19" s="24" t="s">
        <v>105</v>
      </c>
      <c r="D19" s="24" t="s">
        <v>106</v>
      </c>
      <c r="E19" s="25">
        <v>5</v>
      </c>
      <c r="F19" s="25">
        <v>5</v>
      </c>
      <c r="G19" s="25">
        <v>5</v>
      </c>
      <c r="H19" s="26"/>
    </row>
    <row r="20" spans="1:8" ht="60" customHeight="1" x14ac:dyDescent="0.25">
      <c r="A20" s="22" t="s">
        <v>107</v>
      </c>
      <c r="B20" s="23" t="s">
        <v>54</v>
      </c>
      <c r="C20" s="24" t="s">
        <v>108</v>
      </c>
      <c r="D20" s="24" t="s">
        <v>109</v>
      </c>
      <c r="E20" s="25">
        <v>5</v>
      </c>
      <c r="F20" s="25">
        <v>5</v>
      </c>
      <c r="G20" s="25">
        <v>5</v>
      </c>
      <c r="H20" s="26"/>
    </row>
    <row r="21" spans="1:8" ht="60" customHeight="1" x14ac:dyDescent="0.25">
      <c r="A21" s="27" t="s">
        <v>110</v>
      </c>
      <c r="B21" s="28" t="s">
        <v>58</v>
      </c>
      <c r="C21" s="29" t="s">
        <v>111</v>
      </c>
      <c r="D21" s="29" t="s">
        <v>112</v>
      </c>
      <c r="E21" s="25">
        <v>5</v>
      </c>
      <c r="F21" s="25">
        <v>4</v>
      </c>
      <c r="G21" s="25">
        <v>4</v>
      </c>
      <c r="H21" s="26"/>
    </row>
    <row r="22" spans="1:8" ht="60" customHeight="1" x14ac:dyDescent="0.25">
      <c r="A22" s="27" t="s">
        <v>113</v>
      </c>
      <c r="B22" s="28" t="s">
        <v>58</v>
      </c>
      <c r="C22" s="29" t="s">
        <v>114</v>
      </c>
      <c r="D22" s="29" t="s">
        <v>115</v>
      </c>
      <c r="E22" s="25">
        <v>4</v>
      </c>
      <c r="F22" s="25">
        <v>5</v>
      </c>
      <c r="G22" s="25">
        <v>4</v>
      </c>
      <c r="H22" s="26"/>
    </row>
    <row r="23" spans="1:8" ht="60" customHeight="1" x14ac:dyDescent="0.25">
      <c r="A23" s="22" t="s">
        <v>116</v>
      </c>
      <c r="B23" s="23" t="s">
        <v>54</v>
      </c>
      <c r="C23" s="24" t="s">
        <v>117</v>
      </c>
      <c r="D23" s="24" t="s">
        <v>118</v>
      </c>
      <c r="E23" s="25">
        <v>4</v>
      </c>
      <c r="F23" s="25">
        <v>5</v>
      </c>
      <c r="G23" s="25">
        <v>4</v>
      </c>
      <c r="H23" s="26"/>
    </row>
    <row r="24" spans="1:8" ht="60" customHeight="1" x14ac:dyDescent="0.25">
      <c r="A24" s="27" t="s">
        <v>119</v>
      </c>
      <c r="B24" s="28" t="s">
        <v>58</v>
      </c>
      <c r="C24" s="29" t="s">
        <v>120</v>
      </c>
      <c r="D24" s="29" t="s">
        <v>121</v>
      </c>
      <c r="E24" s="25">
        <v>4</v>
      </c>
      <c r="F24" s="25">
        <v>5</v>
      </c>
      <c r="G24" s="25">
        <v>4</v>
      </c>
      <c r="H24" s="26"/>
    </row>
    <row r="25" spans="1:8" ht="60" customHeight="1" x14ac:dyDescent="0.25">
      <c r="A25" s="27" t="s">
        <v>122</v>
      </c>
      <c r="B25" s="28" t="s">
        <v>58</v>
      </c>
      <c r="C25" s="29" t="s">
        <v>123</v>
      </c>
      <c r="D25" s="29" t="s">
        <v>124</v>
      </c>
      <c r="E25" s="25">
        <v>4</v>
      </c>
      <c r="F25" s="25">
        <v>5</v>
      </c>
      <c r="G25" s="25">
        <v>4</v>
      </c>
      <c r="H25" s="26"/>
    </row>
    <row r="26" spans="1:8" ht="60" customHeight="1" x14ac:dyDescent="0.25">
      <c r="A26" s="22" t="s">
        <v>125</v>
      </c>
      <c r="B26" s="23" t="s">
        <v>54</v>
      </c>
      <c r="C26" s="24" t="s">
        <v>126</v>
      </c>
      <c r="D26" s="24" t="s">
        <v>127</v>
      </c>
      <c r="E26" s="25">
        <v>3</v>
      </c>
      <c r="F26" s="25">
        <v>4</v>
      </c>
      <c r="G26" s="25">
        <v>5</v>
      </c>
      <c r="H26" s="26"/>
    </row>
    <row r="27" spans="1:8" ht="60" customHeight="1" x14ac:dyDescent="0.25">
      <c r="A27" s="27" t="s">
        <v>128</v>
      </c>
      <c r="B27" s="28" t="s">
        <v>58</v>
      </c>
      <c r="C27" s="29" t="s">
        <v>129</v>
      </c>
      <c r="D27" s="29" t="s">
        <v>130</v>
      </c>
      <c r="E27" s="25">
        <v>4</v>
      </c>
      <c r="F27" s="25">
        <v>5</v>
      </c>
      <c r="G27" s="25">
        <v>5</v>
      </c>
      <c r="H27" s="26"/>
    </row>
    <row r="28" spans="1:8" ht="60" customHeight="1" x14ac:dyDescent="0.25">
      <c r="A28" s="27" t="s">
        <v>131</v>
      </c>
      <c r="B28" s="28" t="s">
        <v>58</v>
      </c>
      <c r="C28" s="29" t="s">
        <v>132</v>
      </c>
      <c r="D28" s="29" t="s">
        <v>133</v>
      </c>
      <c r="E28" s="25">
        <v>5</v>
      </c>
      <c r="F28" s="25">
        <v>5</v>
      </c>
      <c r="G28" s="25">
        <v>4</v>
      </c>
      <c r="H28" s="26"/>
    </row>
    <row r="29" spans="1:8" ht="60" customHeight="1" x14ac:dyDescent="0.25">
      <c r="A29" s="22" t="s">
        <v>134</v>
      </c>
      <c r="B29" s="23" t="s">
        <v>54</v>
      </c>
      <c r="C29" s="24" t="s">
        <v>135</v>
      </c>
      <c r="D29" s="24" t="s">
        <v>136</v>
      </c>
      <c r="E29" s="25">
        <v>5</v>
      </c>
      <c r="F29" s="25">
        <v>5</v>
      </c>
      <c r="G29" s="25">
        <v>5</v>
      </c>
      <c r="H29" s="26"/>
    </row>
    <row r="30" spans="1:8" ht="60" customHeight="1" x14ac:dyDescent="0.25">
      <c r="A30" s="22" t="s">
        <v>137</v>
      </c>
      <c r="B30" s="23" t="s">
        <v>54</v>
      </c>
      <c r="C30" s="24" t="s">
        <v>138</v>
      </c>
      <c r="D30" s="24" t="s">
        <v>139</v>
      </c>
      <c r="E30" s="25">
        <v>5</v>
      </c>
      <c r="F30" s="25">
        <v>5</v>
      </c>
      <c r="G30" s="25">
        <v>4</v>
      </c>
      <c r="H30" s="26"/>
    </row>
    <row r="31" spans="1:8" ht="60" customHeight="1" x14ac:dyDescent="0.25">
      <c r="A31" s="30" t="s">
        <v>140</v>
      </c>
      <c r="B31" s="31" t="s">
        <v>92</v>
      </c>
      <c r="C31" s="32" t="s">
        <v>141</v>
      </c>
      <c r="D31" s="32" t="s">
        <v>142</v>
      </c>
      <c r="E31" s="25">
        <v>4</v>
      </c>
      <c r="F31" s="25">
        <v>5</v>
      </c>
      <c r="G31" s="25">
        <v>5</v>
      </c>
      <c r="H31" s="26"/>
    </row>
    <row r="32" spans="1:8" ht="60" customHeight="1" x14ac:dyDescent="0.25">
      <c r="A32" s="22" t="s">
        <v>143</v>
      </c>
      <c r="B32" s="23" t="s">
        <v>54</v>
      </c>
      <c r="C32" s="24" t="s">
        <v>144</v>
      </c>
      <c r="D32" s="24" t="s">
        <v>145</v>
      </c>
      <c r="E32" s="25">
        <v>5</v>
      </c>
      <c r="F32" s="25">
        <v>5</v>
      </c>
      <c r="G32" s="25">
        <v>5</v>
      </c>
      <c r="H32" s="26"/>
    </row>
    <row r="33" spans="1:8" ht="60" customHeight="1" x14ac:dyDescent="0.25">
      <c r="A33" s="22" t="s">
        <v>146</v>
      </c>
      <c r="B33" s="23" t="s">
        <v>54</v>
      </c>
      <c r="C33" s="24" t="s">
        <v>147</v>
      </c>
      <c r="D33" s="24" t="s">
        <v>148</v>
      </c>
      <c r="E33" s="25">
        <v>5</v>
      </c>
      <c r="F33" s="25">
        <v>5</v>
      </c>
      <c r="G33" s="25">
        <v>5</v>
      </c>
      <c r="H33" s="26"/>
    </row>
    <row r="34" spans="1:8" ht="60" customHeight="1" x14ac:dyDescent="0.25">
      <c r="A34" s="22" t="s">
        <v>149</v>
      </c>
      <c r="B34" s="23" t="s">
        <v>54</v>
      </c>
      <c r="C34" s="24" t="s">
        <v>150</v>
      </c>
      <c r="D34" s="24" t="s">
        <v>151</v>
      </c>
      <c r="E34" s="25">
        <v>5</v>
      </c>
      <c r="F34" s="25">
        <v>5</v>
      </c>
      <c r="G34" s="25">
        <v>5</v>
      </c>
      <c r="H34" s="26"/>
    </row>
    <row r="35" spans="1:8" ht="60" customHeight="1" x14ac:dyDescent="0.25">
      <c r="A35" s="30" t="s">
        <v>152</v>
      </c>
      <c r="B35" s="31" t="s">
        <v>92</v>
      </c>
      <c r="C35" s="32" t="s">
        <v>153</v>
      </c>
      <c r="D35" s="32" t="s">
        <v>154</v>
      </c>
      <c r="E35" s="25">
        <v>4</v>
      </c>
      <c r="F35" s="25">
        <v>4</v>
      </c>
      <c r="G35" s="25">
        <v>4</v>
      </c>
      <c r="H35" s="26"/>
    </row>
    <row r="36" spans="1:8" ht="60" customHeight="1" x14ac:dyDescent="0.25">
      <c r="A36" s="22" t="s">
        <v>155</v>
      </c>
      <c r="B36" s="23" t="s">
        <v>54</v>
      </c>
      <c r="C36" s="24" t="s">
        <v>156</v>
      </c>
      <c r="D36" s="24" t="s">
        <v>157</v>
      </c>
      <c r="E36" s="25">
        <v>5</v>
      </c>
      <c r="F36" s="25">
        <v>5</v>
      </c>
      <c r="G36" s="25">
        <v>5</v>
      </c>
      <c r="H36" s="26"/>
    </row>
    <row r="37" spans="1:8" ht="60" customHeight="1" x14ac:dyDescent="0.25">
      <c r="A37" s="30" t="s">
        <v>158</v>
      </c>
      <c r="B37" s="31" t="s">
        <v>92</v>
      </c>
      <c r="C37" s="32" t="s">
        <v>159</v>
      </c>
      <c r="D37" s="32" t="s">
        <v>160</v>
      </c>
      <c r="E37" s="25">
        <v>5</v>
      </c>
      <c r="F37" s="25">
        <v>5</v>
      </c>
      <c r="G37" s="25">
        <v>5</v>
      </c>
      <c r="H37" s="26"/>
    </row>
    <row r="38" spans="1:8" ht="60" customHeight="1" x14ac:dyDescent="0.25">
      <c r="A38" s="30" t="s">
        <v>161</v>
      </c>
      <c r="B38" s="31" t="s">
        <v>92</v>
      </c>
      <c r="C38" s="32" t="s">
        <v>162</v>
      </c>
      <c r="D38" s="32" t="s">
        <v>163</v>
      </c>
      <c r="E38" s="25">
        <v>2</v>
      </c>
      <c r="F38" s="25">
        <v>5</v>
      </c>
      <c r="G38" s="25">
        <v>4</v>
      </c>
      <c r="H38" s="26"/>
    </row>
    <row r="39" spans="1:8" ht="60" customHeight="1" x14ac:dyDescent="0.25">
      <c r="A39" s="27" t="s">
        <v>164</v>
      </c>
      <c r="B39" s="28" t="s">
        <v>58</v>
      </c>
      <c r="C39" s="29" t="s">
        <v>165</v>
      </c>
      <c r="D39" s="29" t="s">
        <v>166</v>
      </c>
      <c r="E39" s="25">
        <v>5</v>
      </c>
      <c r="F39" s="25">
        <v>5</v>
      </c>
      <c r="G39" s="25">
        <v>5</v>
      </c>
      <c r="H39" s="26"/>
    </row>
    <row r="40" spans="1:8" ht="60" customHeight="1" x14ac:dyDescent="0.25">
      <c r="A40" s="22" t="s">
        <v>167</v>
      </c>
      <c r="B40" s="23" t="s">
        <v>54</v>
      </c>
      <c r="C40" s="24" t="s">
        <v>168</v>
      </c>
      <c r="D40" s="24" t="s">
        <v>169</v>
      </c>
      <c r="E40" s="25">
        <v>5</v>
      </c>
      <c r="F40" s="25">
        <v>5</v>
      </c>
      <c r="G40" s="25">
        <v>5</v>
      </c>
      <c r="H40" s="26"/>
    </row>
    <row r="41" spans="1:8" ht="60" customHeight="1" x14ac:dyDescent="0.25">
      <c r="A41" s="27" t="s">
        <v>170</v>
      </c>
      <c r="B41" s="28" t="s">
        <v>58</v>
      </c>
      <c r="C41" s="29" t="s">
        <v>171</v>
      </c>
      <c r="D41" s="29" t="s">
        <v>172</v>
      </c>
      <c r="E41" s="25">
        <v>5</v>
      </c>
      <c r="F41" s="25">
        <v>5</v>
      </c>
      <c r="G41" s="25">
        <v>5</v>
      </c>
      <c r="H41" s="26"/>
    </row>
    <row r="42" spans="1:8" ht="60" customHeight="1" x14ac:dyDescent="0.25">
      <c r="A42" s="27" t="s">
        <v>173</v>
      </c>
      <c r="B42" s="28" t="s">
        <v>58</v>
      </c>
      <c r="C42" s="29" t="s">
        <v>174</v>
      </c>
      <c r="D42" s="29" t="s">
        <v>175</v>
      </c>
      <c r="E42" s="25">
        <v>5</v>
      </c>
      <c r="F42" s="25">
        <v>3</v>
      </c>
      <c r="G42" s="25">
        <v>5</v>
      </c>
      <c r="H42" s="26"/>
    </row>
    <row r="43" spans="1:8" ht="60" customHeight="1" x14ac:dyDescent="0.25">
      <c r="A43" s="22" t="s">
        <v>176</v>
      </c>
      <c r="B43" s="23" t="s">
        <v>54</v>
      </c>
      <c r="C43" s="24" t="s">
        <v>177</v>
      </c>
      <c r="D43" s="24" t="s">
        <v>178</v>
      </c>
      <c r="E43" s="25">
        <v>5</v>
      </c>
      <c r="F43" s="25">
        <v>5</v>
      </c>
      <c r="G43" s="25">
        <v>5</v>
      </c>
      <c r="H43" s="26"/>
    </row>
    <row r="44" spans="1:8" ht="60" customHeight="1" x14ac:dyDescent="0.25">
      <c r="A44" s="27" t="s">
        <v>179</v>
      </c>
      <c r="B44" s="28" t="s">
        <v>58</v>
      </c>
      <c r="C44" s="29" t="s">
        <v>180</v>
      </c>
      <c r="D44" s="29" t="s">
        <v>181</v>
      </c>
      <c r="E44" s="25">
        <v>5</v>
      </c>
      <c r="F44" s="25">
        <v>4</v>
      </c>
      <c r="G44" s="25">
        <v>5</v>
      </c>
      <c r="H44" s="26"/>
    </row>
    <row r="45" spans="1:8" ht="60" customHeight="1" x14ac:dyDescent="0.25">
      <c r="A45" s="30" t="s">
        <v>182</v>
      </c>
      <c r="B45" s="31" t="s">
        <v>92</v>
      </c>
      <c r="C45" s="32" t="s">
        <v>183</v>
      </c>
      <c r="D45" s="32" t="s">
        <v>184</v>
      </c>
      <c r="E45" s="25">
        <v>5</v>
      </c>
      <c r="F45" s="25">
        <v>3</v>
      </c>
      <c r="G45" s="25">
        <v>4</v>
      </c>
      <c r="H45" s="26"/>
    </row>
    <row r="46" spans="1:8" ht="60" customHeight="1" x14ac:dyDescent="0.25">
      <c r="A46" s="30" t="s">
        <v>185</v>
      </c>
      <c r="B46" s="31" t="s">
        <v>92</v>
      </c>
      <c r="C46" s="32" t="s">
        <v>186</v>
      </c>
      <c r="D46" s="32" t="s">
        <v>187</v>
      </c>
      <c r="E46" s="25">
        <v>3</v>
      </c>
      <c r="F46" s="25">
        <v>5</v>
      </c>
      <c r="G46" s="25">
        <v>4</v>
      </c>
      <c r="H46" s="26"/>
    </row>
    <row r="47" spans="1:8" ht="60" customHeight="1" x14ac:dyDescent="0.25">
      <c r="A47" s="22" t="s">
        <v>188</v>
      </c>
      <c r="B47" s="23" t="s">
        <v>54</v>
      </c>
      <c r="C47" s="24" t="s">
        <v>189</v>
      </c>
      <c r="D47" s="24" t="s">
        <v>190</v>
      </c>
      <c r="E47" s="25">
        <v>5</v>
      </c>
      <c r="F47" s="25">
        <v>5</v>
      </c>
      <c r="G47" s="25">
        <v>5</v>
      </c>
      <c r="H47" s="26"/>
    </row>
    <row r="48" spans="1:8" ht="60" customHeight="1" x14ac:dyDescent="0.25">
      <c r="A48" s="27" t="s">
        <v>191</v>
      </c>
      <c r="B48" s="28" t="s">
        <v>58</v>
      </c>
      <c r="C48" s="29" t="s">
        <v>192</v>
      </c>
      <c r="D48" s="29" t="s">
        <v>193</v>
      </c>
      <c r="E48" s="25">
        <v>5</v>
      </c>
      <c r="F48" s="25">
        <v>5</v>
      </c>
      <c r="G48" s="25">
        <v>5</v>
      </c>
      <c r="H48" s="26"/>
    </row>
    <row r="49" spans="1:8" ht="60" customHeight="1" x14ac:dyDescent="0.25">
      <c r="A49" s="30" t="s">
        <v>194</v>
      </c>
      <c r="B49" s="31" t="s">
        <v>92</v>
      </c>
      <c r="C49" s="32" t="s">
        <v>195</v>
      </c>
      <c r="D49" s="32" t="s">
        <v>196</v>
      </c>
      <c r="E49" s="25">
        <v>4</v>
      </c>
      <c r="F49" s="25">
        <v>5</v>
      </c>
      <c r="G49" s="25">
        <v>5</v>
      </c>
      <c r="H49" s="26"/>
    </row>
    <row r="50" spans="1:8" ht="60" customHeight="1" x14ac:dyDescent="0.25">
      <c r="A50" s="27" t="s">
        <v>197</v>
      </c>
      <c r="B50" s="28" t="s">
        <v>58</v>
      </c>
      <c r="C50" s="29" t="s">
        <v>198</v>
      </c>
      <c r="D50" s="29" t="s">
        <v>199</v>
      </c>
      <c r="E50" s="25">
        <v>5</v>
      </c>
      <c r="F50" s="25">
        <v>5</v>
      </c>
      <c r="G50" s="25">
        <v>4</v>
      </c>
      <c r="H50" s="26"/>
    </row>
    <row r="51" spans="1:8" ht="60" customHeight="1" x14ac:dyDescent="0.25">
      <c r="A51" s="27" t="s">
        <v>200</v>
      </c>
      <c r="B51" s="28" t="s">
        <v>58</v>
      </c>
      <c r="C51" s="29" t="s">
        <v>201</v>
      </c>
      <c r="D51" s="29" t="s">
        <v>202</v>
      </c>
      <c r="E51" s="25">
        <v>4</v>
      </c>
      <c r="F51" s="25">
        <v>3</v>
      </c>
      <c r="G51" s="25">
        <v>4</v>
      </c>
      <c r="H51" s="26"/>
    </row>
    <row r="52" spans="1:8" ht="60" customHeight="1" x14ac:dyDescent="0.25">
      <c r="A52" s="30" t="s">
        <v>203</v>
      </c>
      <c r="B52" s="31" t="s">
        <v>92</v>
      </c>
      <c r="C52" s="32" t="s">
        <v>204</v>
      </c>
      <c r="D52" s="32" t="s">
        <v>205</v>
      </c>
      <c r="E52" s="25">
        <v>5</v>
      </c>
      <c r="F52" s="25">
        <v>5</v>
      </c>
      <c r="G52" s="25">
        <v>4</v>
      </c>
      <c r="H52" s="26"/>
    </row>
    <row r="53" spans="1:8" ht="20.100000000000001" customHeight="1" x14ac:dyDescent="0.25">
      <c r="A53" s="41" t="s">
        <v>206</v>
      </c>
      <c r="B53" s="40"/>
      <c r="C53" s="40"/>
      <c r="D53" s="40"/>
      <c r="E53" s="33">
        <f>AVERAGE(E3:E52)</f>
        <v>4.62</v>
      </c>
      <c r="F53" s="33">
        <f>AVERAGE(F3:F52)</f>
        <v>4.6399999999999997</v>
      </c>
      <c r="G53" s="33">
        <f>AVERAGE(G3:G52)</f>
        <v>4.4800000000000004</v>
      </c>
      <c r="H53" s="34"/>
    </row>
  </sheetData>
  <mergeCells count="2">
    <mergeCell ref="A53:D53"/>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
  <sheetViews>
    <sheetView workbookViewId="0">
      <pane ySplit="2" topLeftCell="A47" activePane="bottomLeft" state="frozen"/>
      <selection pane="bottomLeft" activeCell="H5" sqref="H5"/>
    </sheetView>
  </sheetViews>
  <sheetFormatPr defaultRowHeight="15" x14ac:dyDescent="0.25"/>
  <cols>
    <col min="1" max="1" width="8" customWidth="1"/>
    <col min="2" max="2" width="8" hidden="1" customWidth="1"/>
    <col min="3" max="4" width="55" customWidth="1"/>
    <col min="5" max="7" width="14" customWidth="1"/>
    <col min="8" max="8" width="25" customWidth="1"/>
  </cols>
  <sheetData>
    <row r="1" spans="1:8" ht="45" customHeight="1" x14ac:dyDescent="0.25">
      <c r="A1" s="18" t="s">
        <v>44</v>
      </c>
      <c r="B1" s="18" t="s">
        <v>45</v>
      </c>
      <c r="C1" s="19" t="s">
        <v>46</v>
      </c>
      <c r="D1" s="20" t="s">
        <v>47</v>
      </c>
      <c r="E1" s="21" t="s">
        <v>48</v>
      </c>
      <c r="F1" s="21" t="s">
        <v>49</v>
      </c>
      <c r="G1" s="21" t="s">
        <v>50</v>
      </c>
      <c r="H1" s="18" t="s">
        <v>51</v>
      </c>
    </row>
    <row r="2" spans="1:8" ht="24.95" customHeight="1" x14ac:dyDescent="0.25">
      <c r="A2" s="42" t="s">
        <v>207</v>
      </c>
      <c r="B2" s="40"/>
      <c r="C2" s="40"/>
      <c r="D2" s="40"/>
      <c r="E2" s="40"/>
      <c r="F2" s="40"/>
      <c r="G2" s="40"/>
      <c r="H2" s="40"/>
    </row>
    <row r="3" spans="1:8" ht="60" customHeight="1" x14ac:dyDescent="0.25">
      <c r="A3" s="22" t="s">
        <v>53</v>
      </c>
      <c r="B3" s="23" t="s">
        <v>54</v>
      </c>
      <c r="C3" s="24" t="s">
        <v>55</v>
      </c>
      <c r="D3" s="24" t="s">
        <v>56</v>
      </c>
      <c r="E3" s="25">
        <v>4</v>
      </c>
      <c r="F3" s="25">
        <v>5</v>
      </c>
      <c r="G3" s="25">
        <v>4</v>
      </c>
      <c r="H3" s="26"/>
    </row>
    <row r="4" spans="1:8" ht="60" customHeight="1" x14ac:dyDescent="0.25">
      <c r="A4" s="27" t="s">
        <v>57</v>
      </c>
      <c r="B4" s="28" t="s">
        <v>58</v>
      </c>
      <c r="C4" s="29" t="s">
        <v>59</v>
      </c>
      <c r="D4" s="29" t="s">
        <v>60</v>
      </c>
      <c r="E4" s="25">
        <v>4</v>
      </c>
      <c r="F4" s="25">
        <v>3</v>
      </c>
      <c r="G4" s="25">
        <v>3</v>
      </c>
      <c r="H4" s="26"/>
    </row>
    <row r="5" spans="1:8" ht="60" customHeight="1" x14ac:dyDescent="0.25">
      <c r="A5" s="22" t="s">
        <v>61</v>
      </c>
      <c r="B5" s="23" t="s">
        <v>54</v>
      </c>
      <c r="C5" s="24" t="s">
        <v>62</v>
      </c>
      <c r="D5" s="24" t="s">
        <v>63</v>
      </c>
      <c r="E5" s="25">
        <v>4</v>
      </c>
      <c r="F5" s="25">
        <v>5</v>
      </c>
      <c r="G5" s="25">
        <v>5</v>
      </c>
      <c r="H5" s="26"/>
    </row>
    <row r="6" spans="1:8" ht="60" customHeight="1" x14ac:dyDescent="0.25">
      <c r="A6" s="22" t="s">
        <v>64</v>
      </c>
      <c r="B6" s="23" t="s">
        <v>54</v>
      </c>
      <c r="C6" s="24" t="s">
        <v>65</v>
      </c>
      <c r="D6" s="24" t="s">
        <v>66</v>
      </c>
      <c r="E6" s="25">
        <v>5</v>
      </c>
      <c r="F6" s="25">
        <v>5</v>
      </c>
      <c r="G6" s="25">
        <v>5</v>
      </c>
      <c r="H6" s="26"/>
    </row>
    <row r="7" spans="1:8" ht="60" customHeight="1" x14ac:dyDescent="0.25">
      <c r="A7" s="22" t="s">
        <v>67</v>
      </c>
      <c r="B7" s="23" t="s">
        <v>54</v>
      </c>
      <c r="C7" s="24" t="s">
        <v>68</v>
      </c>
      <c r="D7" s="24" t="s">
        <v>69</v>
      </c>
      <c r="E7" s="25">
        <v>5</v>
      </c>
      <c r="F7" s="25">
        <v>4</v>
      </c>
      <c r="G7" s="25">
        <v>5</v>
      </c>
      <c r="H7" s="26"/>
    </row>
    <row r="8" spans="1:8" ht="60" customHeight="1" x14ac:dyDescent="0.25">
      <c r="A8" s="22" t="s">
        <v>70</v>
      </c>
      <c r="B8" s="23" t="s">
        <v>54</v>
      </c>
      <c r="C8" s="24" t="s">
        <v>71</v>
      </c>
      <c r="D8" s="24" t="s">
        <v>72</v>
      </c>
      <c r="E8" s="25">
        <v>5</v>
      </c>
      <c r="F8" s="25">
        <v>4</v>
      </c>
      <c r="G8" s="25">
        <v>4</v>
      </c>
      <c r="H8" s="26"/>
    </row>
    <row r="9" spans="1:8" ht="60" customHeight="1" x14ac:dyDescent="0.25">
      <c r="A9" s="27" t="s">
        <v>73</v>
      </c>
      <c r="B9" s="28" t="s">
        <v>58</v>
      </c>
      <c r="C9" s="29" t="s">
        <v>74</v>
      </c>
      <c r="D9" s="29" t="s">
        <v>75</v>
      </c>
      <c r="E9" s="25">
        <v>5</v>
      </c>
      <c r="F9" s="25">
        <v>4</v>
      </c>
      <c r="G9" s="25">
        <v>4</v>
      </c>
      <c r="H9" s="26"/>
    </row>
    <row r="10" spans="1:8" ht="60" customHeight="1" x14ac:dyDescent="0.25">
      <c r="A10" s="27" t="s">
        <v>76</v>
      </c>
      <c r="B10" s="28" t="s">
        <v>58</v>
      </c>
      <c r="C10" s="29" t="s">
        <v>77</v>
      </c>
      <c r="D10" s="29" t="s">
        <v>78</v>
      </c>
      <c r="E10" s="25">
        <v>4</v>
      </c>
      <c r="F10" s="25">
        <v>5</v>
      </c>
      <c r="G10" s="25">
        <v>5</v>
      </c>
      <c r="H10" s="26"/>
    </row>
    <row r="11" spans="1:8" ht="60" customHeight="1" x14ac:dyDescent="0.25">
      <c r="A11" s="22" t="s">
        <v>79</v>
      </c>
      <c r="B11" s="23" t="s">
        <v>54</v>
      </c>
      <c r="C11" s="24" t="s">
        <v>80</v>
      </c>
      <c r="D11" s="24" t="s">
        <v>81</v>
      </c>
      <c r="E11" s="25">
        <v>5</v>
      </c>
      <c r="F11" s="25">
        <v>5</v>
      </c>
      <c r="G11" s="25">
        <v>4</v>
      </c>
      <c r="H11" s="26"/>
    </row>
    <row r="12" spans="1:8" ht="60" customHeight="1" x14ac:dyDescent="0.25">
      <c r="A12" s="27" t="s">
        <v>82</v>
      </c>
      <c r="B12" s="28" t="s">
        <v>58</v>
      </c>
      <c r="C12" s="29" t="s">
        <v>83</v>
      </c>
      <c r="D12" s="29" t="s">
        <v>84</v>
      </c>
      <c r="E12" s="25">
        <v>5</v>
      </c>
      <c r="F12" s="25">
        <v>4</v>
      </c>
      <c r="G12" s="25">
        <v>5</v>
      </c>
      <c r="H12" s="26"/>
    </row>
    <row r="13" spans="1:8" ht="60" customHeight="1" x14ac:dyDescent="0.25">
      <c r="A13" s="22" t="s">
        <v>85</v>
      </c>
      <c r="B13" s="23" t="s">
        <v>54</v>
      </c>
      <c r="C13" s="24" t="s">
        <v>86</v>
      </c>
      <c r="D13" s="24" t="s">
        <v>87</v>
      </c>
      <c r="E13" s="25">
        <v>4</v>
      </c>
      <c r="F13" s="25">
        <v>5</v>
      </c>
      <c r="G13" s="25">
        <v>5</v>
      </c>
      <c r="H13" s="26"/>
    </row>
    <row r="14" spans="1:8" ht="60" customHeight="1" x14ac:dyDescent="0.25">
      <c r="A14" s="27" t="s">
        <v>88</v>
      </c>
      <c r="B14" s="28" t="s">
        <v>58</v>
      </c>
      <c r="C14" s="29" t="s">
        <v>89</v>
      </c>
      <c r="D14" s="29" t="s">
        <v>90</v>
      </c>
      <c r="E14" s="25">
        <v>4</v>
      </c>
      <c r="F14" s="25">
        <v>3</v>
      </c>
      <c r="G14" s="25">
        <v>3</v>
      </c>
      <c r="H14" s="26"/>
    </row>
    <row r="15" spans="1:8" ht="60" customHeight="1" x14ac:dyDescent="0.25">
      <c r="A15" s="30" t="s">
        <v>91</v>
      </c>
      <c r="B15" s="31" t="s">
        <v>92</v>
      </c>
      <c r="C15" s="32" t="s">
        <v>93</v>
      </c>
      <c r="D15" s="32" t="s">
        <v>94</v>
      </c>
      <c r="E15" s="25">
        <v>4</v>
      </c>
      <c r="F15" s="25">
        <v>4</v>
      </c>
      <c r="G15" s="25">
        <v>4</v>
      </c>
      <c r="H15" s="26"/>
    </row>
    <row r="16" spans="1:8" ht="60" customHeight="1" x14ac:dyDescent="0.25">
      <c r="A16" s="30" t="s">
        <v>95</v>
      </c>
      <c r="B16" s="31" t="s">
        <v>92</v>
      </c>
      <c r="C16" s="32" t="s">
        <v>96</v>
      </c>
      <c r="D16" s="32" t="s">
        <v>97</v>
      </c>
      <c r="E16" s="25">
        <v>5</v>
      </c>
      <c r="F16" s="25">
        <v>2</v>
      </c>
      <c r="G16" s="25">
        <v>3</v>
      </c>
      <c r="H16" s="26"/>
    </row>
    <row r="17" spans="1:8" ht="60" customHeight="1" x14ac:dyDescent="0.25">
      <c r="A17" s="27" t="s">
        <v>98</v>
      </c>
      <c r="B17" s="28" t="s">
        <v>58</v>
      </c>
      <c r="C17" s="29" t="s">
        <v>99</v>
      </c>
      <c r="D17" s="29" t="s">
        <v>100</v>
      </c>
      <c r="E17" s="25">
        <v>4</v>
      </c>
      <c r="F17" s="25">
        <v>3</v>
      </c>
      <c r="G17" s="25">
        <v>4</v>
      </c>
      <c r="H17" s="26"/>
    </row>
    <row r="18" spans="1:8" ht="60" customHeight="1" x14ac:dyDescent="0.25">
      <c r="A18" s="30" t="s">
        <v>101</v>
      </c>
      <c r="B18" s="31" t="s">
        <v>92</v>
      </c>
      <c r="C18" s="32" t="s">
        <v>102</v>
      </c>
      <c r="D18" s="32" t="s">
        <v>103</v>
      </c>
      <c r="E18" s="25">
        <v>4</v>
      </c>
      <c r="F18" s="25">
        <v>4</v>
      </c>
      <c r="G18" s="25">
        <v>5</v>
      </c>
      <c r="H18" s="26"/>
    </row>
    <row r="19" spans="1:8" ht="60" customHeight="1" x14ac:dyDescent="0.25">
      <c r="A19" s="22" t="s">
        <v>104</v>
      </c>
      <c r="B19" s="23" t="s">
        <v>54</v>
      </c>
      <c r="C19" s="24" t="s">
        <v>105</v>
      </c>
      <c r="D19" s="24" t="s">
        <v>106</v>
      </c>
      <c r="E19" s="25">
        <v>5</v>
      </c>
      <c r="F19" s="25">
        <v>4</v>
      </c>
      <c r="G19" s="25">
        <v>5</v>
      </c>
      <c r="H19" s="26"/>
    </row>
    <row r="20" spans="1:8" ht="60" customHeight="1" x14ac:dyDescent="0.25">
      <c r="A20" s="22" t="s">
        <v>107</v>
      </c>
      <c r="B20" s="23" t="s">
        <v>54</v>
      </c>
      <c r="C20" s="24" t="s">
        <v>108</v>
      </c>
      <c r="D20" s="24" t="s">
        <v>109</v>
      </c>
      <c r="E20" s="25">
        <v>5</v>
      </c>
      <c r="F20" s="25">
        <v>5</v>
      </c>
      <c r="G20" s="25">
        <v>4</v>
      </c>
      <c r="H20" s="26"/>
    </row>
    <row r="21" spans="1:8" ht="60" customHeight="1" x14ac:dyDescent="0.25">
      <c r="A21" s="27" t="s">
        <v>110</v>
      </c>
      <c r="B21" s="28" t="s">
        <v>58</v>
      </c>
      <c r="C21" s="29" t="s">
        <v>111</v>
      </c>
      <c r="D21" s="29" t="s">
        <v>112</v>
      </c>
      <c r="E21" s="25">
        <v>5</v>
      </c>
      <c r="F21" s="25">
        <v>4</v>
      </c>
      <c r="G21" s="25">
        <v>4</v>
      </c>
      <c r="H21" s="26"/>
    </row>
    <row r="22" spans="1:8" ht="60" customHeight="1" x14ac:dyDescent="0.25">
      <c r="A22" s="27" t="s">
        <v>113</v>
      </c>
      <c r="B22" s="28" t="s">
        <v>58</v>
      </c>
      <c r="C22" s="29" t="s">
        <v>114</v>
      </c>
      <c r="D22" s="29" t="s">
        <v>115</v>
      </c>
      <c r="E22" s="25">
        <v>4</v>
      </c>
      <c r="F22" s="25">
        <v>4</v>
      </c>
      <c r="G22" s="25">
        <v>4</v>
      </c>
      <c r="H22" s="26"/>
    </row>
    <row r="23" spans="1:8" ht="60" customHeight="1" x14ac:dyDescent="0.25">
      <c r="A23" s="22" t="s">
        <v>116</v>
      </c>
      <c r="B23" s="23" t="s">
        <v>54</v>
      </c>
      <c r="C23" s="24" t="s">
        <v>117</v>
      </c>
      <c r="D23" s="24" t="s">
        <v>118</v>
      </c>
      <c r="E23" s="25">
        <v>5</v>
      </c>
      <c r="F23" s="25">
        <v>5</v>
      </c>
      <c r="G23" s="25">
        <v>4</v>
      </c>
      <c r="H23" s="26"/>
    </row>
    <row r="24" spans="1:8" ht="60" customHeight="1" x14ac:dyDescent="0.25">
      <c r="A24" s="27" t="s">
        <v>119</v>
      </c>
      <c r="B24" s="28" t="s">
        <v>58</v>
      </c>
      <c r="C24" s="29" t="s">
        <v>120</v>
      </c>
      <c r="D24" s="29" t="s">
        <v>121</v>
      </c>
      <c r="E24" s="25">
        <v>4</v>
      </c>
      <c r="F24" s="25">
        <v>5</v>
      </c>
      <c r="G24" s="25">
        <v>5</v>
      </c>
      <c r="H24" s="26"/>
    </row>
    <row r="25" spans="1:8" ht="60" customHeight="1" x14ac:dyDescent="0.25">
      <c r="A25" s="27" t="s">
        <v>122</v>
      </c>
      <c r="B25" s="28" t="s">
        <v>58</v>
      </c>
      <c r="C25" s="29" t="s">
        <v>123</v>
      </c>
      <c r="D25" s="29" t="s">
        <v>124</v>
      </c>
      <c r="E25" s="25">
        <v>4</v>
      </c>
      <c r="F25" s="25">
        <v>4</v>
      </c>
      <c r="G25" s="25">
        <v>5</v>
      </c>
      <c r="H25" s="26"/>
    </row>
    <row r="26" spans="1:8" ht="60" customHeight="1" x14ac:dyDescent="0.25">
      <c r="A26" s="22" t="s">
        <v>125</v>
      </c>
      <c r="B26" s="23" t="s">
        <v>54</v>
      </c>
      <c r="C26" s="24" t="s">
        <v>126</v>
      </c>
      <c r="D26" s="24" t="s">
        <v>127</v>
      </c>
      <c r="E26" s="25">
        <v>4</v>
      </c>
      <c r="F26" s="25">
        <v>4</v>
      </c>
      <c r="G26" s="25">
        <v>5</v>
      </c>
      <c r="H26" s="26"/>
    </row>
    <row r="27" spans="1:8" ht="60" customHeight="1" x14ac:dyDescent="0.25">
      <c r="A27" s="27" t="s">
        <v>128</v>
      </c>
      <c r="B27" s="28" t="s">
        <v>58</v>
      </c>
      <c r="C27" s="29" t="s">
        <v>129</v>
      </c>
      <c r="D27" s="29" t="s">
        <v>130</v>
      </c>
      <c r="E27" s="25">
        <v>4</v>
      </c>
      <c r="F27" s="25">
        <v>5</v>
      </c>
      <c r="G27" s="25">
        <v>5</v>
      </c>
      <c r="H27" s="26"/>
    </row>
    <row r="28" spans="1:8" ht="60" customHeight="1" x14ac:dyDescent="0.25">
      <c r="A28" s="27" t="s">
        <v>131</v>
      </c>
      <c r="B28" s="28" t="s">
        <v>58</v>
      </c>
      <c r="C28" s="29" t="s">
        <v>132</v>
      </c>
      <c r="D28" s="29" t="s">
        <v>133</v>
      </c>
      <c r="E28" s="25">
        <v>5</v>
      </c>
      <c r="F28" s="25">
        <v>4</v>
      </c>
      <c r="G28" s="25">
        <v>4</v>
      </c>
      <c r="H28" s="26"/>
    </row>
    <row r="29" spans="1:8" ht="60" customHeight="1" x14ac:dyDescent="0.25">
      <c r="A29" s="22" t="s">
        <v>134</v>
      </c>
      <c r="B29" s="23" t="s">
        <v>54</v>
      </c>
      <c r="C29" s="24" t="s">
        <v>135</v>
      </c>
      <c r="D29" s="24" t="s">
        <v>136</v>
      </c>
      <c r="E29" s="25">
        <v>4</v>
      </c>
      <c r="F29" s="25">
        <v>5</v>
      </c>
      <c r="G29" s="25">
        <v>5</v>
      </c>
      <c r="H29" s="26"/>
    </row>
    <row r="30" spans="1:8" ht="60" customHeight="1" x14ac:dyDescent="0.25">
      <c r="A30" s="22" t="s">
        <v>137</v>
      </c>
      <c r="B30" s="23" t="s">
        <v>54</v>
      </c>
      <c r="C30" s="24" t="s">
        <v>138</v>
      </c>
      <c r="D30" s="24" t="s">
        <v>139</v>
      </c>
      <c r="E30" s="25">
        <v>4</v>
      </c>
      <c r="F30" s="25">
        <v>5</v>
      </c>
      <c r="G30" s="25">
        <v>4</v>
      </c>
      <c r="H30" s="26"/>
    </row>
    <row r="31" spans="1:8" ht="60" customHeight="1" x14ac:dyDescent="0.25">
      <c r="A31" s="30" t="s">
        <v>140</v>
      </c>
      <c r="B31" s="31" t="s">
        <v>92</v>
      </c>
      <c r="C31" s="32" t="s">
        <v>141</v>
      </c>
      <c r="D31" s="32" t="s">
        <v>142</v>
      </c>
      <c r="E31" s="25">
        <v>4</v>
      </c>
      <c r="F31" s="25">
        <v>5</v>
      </c>
      <c r="G31" s="25">
        <v>5</v>
      </c>
      <c r="H31" s="26"/>
    </row>
    <row r="32" spans="1:8" ht="60" customHeight="1" x14ac:dyDescent="0.25">
      <c r="A32" s="22" t="s">
        <v>143</v>
      </c>
      <c r="B32" s="23" t="s">
        <v>54</v>
      </c>
      <c r="C32" s="24" t="s">
        <v>144</v>
      </c>
      <c r="D32" s="24" t="s">
        <v>145</v>
      </c>
      <c r="E32" s="25">
        <v>4</v>
      </c>
      <c r="F32" s="25">
        <v>5</v>
      </c>
      <c r="G32" s="25">
        <v>5</v>
      </c>
      <c r="H32" s="26"/>
    </row>
    <row r="33" spans="1:8" ht="60" customHeight="1" x14ac:dyDescent="0.25">
      <c r="A33" s="22" t="s">
        <v>146</v>
      </c>
      <c r="B33" s="23" t="s">
        <v>54</v>
      </c>
      <c r="C33" s="24" t="s">
        <v>147</v>
      </c>
      <c r="D33" s="24" t="s">
        <v>148</v>
      </c>
      <c r="E33" s="25">
        <v>5</v>
      </c>
      <c r="F33" s="25">
        <v>4</v>
      </c>
      <c r="G33" s="25">
        <v>5</v>
      </c>
      <c r="H33" s="26"/>
    </row>
    <row r="34" spans="1:8" ht="60" customHeight="1" x14ac:dyDescent="0.25">
      <c r="A34" s="22" t="s">
        <v>149</v>
      </c>
      <c r="B34" s="23" t="s">
        <v>54</v>
      </c>
      <c r="C34" s="24" t="s">
        <v>150</v>
      </c>
      <c r="D34" s="24" t="s">
        <v>151</v>
      </c>
      <c r="E34" s="25">
        <v>5</v>
      </c>
      <c r="F34" s="25">
        <v>4</v>
      </c>
      <c r="G34" s="25">
        <v>5</v>
      </c>
      <c r="H34" s="26"/>
    </row>
    <row r="35" spans="1:8" ht="60" customHeight="1" x14ac:dyDescent="0.25">
      <c r="A35" s="30" t="s">
        <v>152</v>
      </c>
      <c r="B35" s="31" t="s">
        <v>92</v>
      </c>
      <c r="C35" s="32" t="s">
        <v>153</v>
      </c>
      <c r="D35" s="32" t="s">
        <v>154</v>
      </c>
      <c r="E35" s="25">
        <v>5</v>
      </c>
      <c r="F35" s="25">
        <v>5</v>
      </c>
      <c r="G35" s="25">
        <v>4</v>
      </c>
      <c r="H35" s="26"/>
    </row>
    <row r="36" spans="1:8" ht="60" customHeight="1" x14ac:dyDescent="0.25">
      <c r="A36" s="22" t="s">
        <v>155</v>
      </c>
      <c r="B36" s="23" t="s">
        <v>54</v>
      </c>
      <c r="C36" s="24" t="s">
        <v>156</v>
      </c>
      <c r="D36" s="24" t="s">
        <v>157</v>
      </c>
      <c r="E36" s="25">
        <v>4</v>
      </c>
      <c r="F36" s="25">
        <v>5</v>
      </c>
      <c r="G36" s="25">
        <v>5</v>
      </c>
      <c r="H36" s="26"/>
    </row>
    <row r="37" spans="1:8" ht="60" customHeight="1" x14ac:dyDescent="0.25">
      <c r="A37" s="30" t="s">
        <v>158</v>
      </c>
      <c r="B37" s="31" t="s">
        <v>92</v>
      </c>
      <c r="C37" s="32" t="s">
        <v>159</v>
      </c>
      <c r="D37" s="32" t="s">
        <v>160</v>
      </c>
      <c r="E37" s="25">
        <v>5</v>
      </c>
      <c r="F37" s="25">
        <v>4</v>
      </c>
      <c r="G37" s="25">
        <v>5</v>
      </c>
      <c r="H37" s="26"/>
    </row>
    <row r="38" spans="1:8" ht="60" customHeight="1" x14ac:dyDescent="0.25">
      <c r="A38" s="30" t="s">
        <v>161</v>
      </c>
      <c r="B38" s="31" t="s">
        <v>92</v>
      </c>
      <c r="C38" s="32" t="s">
        <v>162</v>
      </c>
      <c r="D38" s="32" t="s">
        <v>163</v>
      </c>
      <c r="E38" s="25">
        <v>2</v>
      </c>
      <c r="F38" s="25">
        <v>4</v>
      </c>
      <c r="G38" s="25">
        <v>4</v>
      </c>
      <c r="H38" s="26"/>
    </row>
    <row r="39" spans="1:8" ht="60" customHeight="1" x14ac:dyDescent="0.25">
      <c r="A39" s="27" t="s">
        <v>164</v>
      </c>
      <c r="B39" s="28" t="s">
        <v>58</v>
      </c>
      <c r="C39" s="29" t="s">
        <v>165</v>
      </c>
      <c r="D39" s="29" t="s">
        <v>166</v>
      </c>
      <c r="E39" s="25">
        <v>5</v>
      </c>
      <c r="F39" s="25">
        <v>5</v>
      </c>
      <c r="G39" s="25">
        <v>5</v>
      </c>
      <c r="H39" s="26"/>
    </row>
    <row r="40" spans="1:8" ht="60" customHeight="1" x14ac:dyDescent="0.25">
      <c r="A40" s="22" t="s">
        <v>167</v>
      </c>
      <c r="B40" s="23" t="s">
        <v>54</v>
      </c>
      <c r="C40" s="24" t="s">
        <v>168</v>
      </c>
      <c r="D40" s="24" t="s">
        <v>169</v>
      </c>
      <c r="E40" s="25">
        <v>5</v>
      </c>
      <c r="F40" s="25">
        <v>5</v>
      </c>
      <c r="G40" s="25">
        <v>5</v>
      </c>
      <c r="H40" s="26"/>
    </row>
    <row r="41" spans="1:8" ht="60" customHeight="1" x14ac:dyDescent="0.25">
      <c r="A41" s="27" t="s">
        <v>170</v>
      </c>
      <c r="B41" s="28" t="s">
        <v>58</v>
      </c>
      <c r="C41" s="29" t="s">
        <v>171</v>
      </c>
      <c r="D41" s="29" t="s">
        <v>172</v>
      </c>
      <c r="E41" s="25">
        <v>5</v>
      </c>
      <c r="F41" s="25">
        <v>4</v>
      </c>
      <c r="G41" s="25">
        <v>5</v>
      </c>
      <c r="H41" s="26"/>
    </row>
    <row r="42" spans="1:8" ht="60" customHeight="1" x14ac:dyDescent="0.25">
      <c r="A42" s="27" t="s">
        <v>173</v>
      </c>
      <c r="B42" s="28" t="s">
        <v>58</v>
      </c>
      <c r="C42" s="29" t="s">
        <v>174</v>
      </c>
      <c r="D42" s="29" t="s">
        <v>175</v>
      </c>
      <c r="E42" s="25">
        <v>5</v>
      </c>
      <c r="F42" s="25">
        <v>3</v>
      </c>
      <c r="G42" s="25">
        <v>5</v>
      </c>
      <c r="H42" s="26"/>
    </row>
    <row r="43" spans="1:8" ht="60" customHeight="1" x14ac:dyDescent="0.25">
      <c r="A43" s="22" t="s">
        <v>176</v>
      </c>
      <c r="B43" s="23" t="s">
        <v>54</v>
      </c>
      <c r="C43" s="24" t="s">
        <v>177</v>
      </c>
      <c r="D43" s="24" t="s">
        <v>178</v>
      </c>
      <c r="E43" s="25">
        <v>4</v>
      </c>
      <c r="F43" s="25">
        <v>4</v>
      </c>
      <c r="G43" s="25">
        <v>5</v>
      </c>
      <c r="H43" s="26"/>
    </row>
    <row r="44" spans="1:8" ht="60" customHeight="1" x14ac:dyDescent="0.25">
      <c r="A44" s="27" t="s">
        <v>179</v>
      </c>
      <c r="B44" s="28" t="s">
        <v>58</v>
      </c>
      <c r="C44" s="29" t="s">
        <v>180</v>
      </c>
      <c r="D44" s="29" t="s">
        <v>181</v>
      </c>
      <c r="E44" s="25">
        <v>4</v>
      </c>
      <c r="F44" s="25">
        <v>4</v>
      </c>
      <c r="G44" s="25">
        <v>5</v>
      </c>
      <c r="H44" s="26"/>
    </row>
    <row r="45" spans="1:8" ht="60" customHeight="1" x14ac:dyDescent="0.25">
      <c r="A45" s="30" t="s">
        <v>182</v>
      </c>
      <c r="B45" s="31" t="s">
        <v>92</v>
      </c>
      <c r="C45" s="32" t="s">
        <v>183</v>
      </c>
      <c r="D45" s="32" t="s">
        <v>184</v>
      </c>
      <c r="E45" s="25">
        <v>4</v>
      </c>
      <c r="F45" s="25">
        <v>2</v>
      </c>
      <c r="G45" s="25">
        <v>4</v>
      </c>
      <c r="H45" s="26"/>
    </row>
    <row r="46" spans="1:8" ht="60" customHeight="1" x14ac:dyDescent="0.25">
      <c r="A46" s="30" t="s">
        <v>185</v>
      </c>
      <c r="B46" s="31" t="s">
        <v>92</v>
      </c>
      <c r="C46" s="32" t="s">
        <v>186</v>
      </c>
      <c r="D46" s="32" t="s">
        <v>187</v>
      </c>
      <c r="E46" s="25">
        <v>2</v>
      </c>
      <c r="F46" s="25">
        <v>5</v>
      </c>
      <c r="G46" s="25">
        <v>4</v>
      </c>
      <c r="H46" s="26"/>
    </row>
    <row r="47" spans="1:8" ht="60" customHeight="1" x14ac:dyDescent="0.25">
      <c r="A47" s="22" t="s">
        <v>188</v>
      </c>
      <c r="B47" s="23" t="s">
        <v>54</v>
      </c>
      <c r="C47" s="24" t="s">
        <v>189</v>
      </c>
      <c r="D47" s="24" t="s">
        <v>190</v>
      </c>
      <c r="E47" s="25">
        <v>5</v>
      </c>
      <c r="F47" s="25">
        <v>5</v>
      </c>
      <c r="G47" s="25">
        <v>5</v>
      </c>
      <c r="H47" s="26"/>
    </row>
    <row r="48" spans="1:8" ht="60" customHeight="1" x14ac:dyDescent="0.25">
      <c r="A48" s="27" t="s">
        <v>191</v>
      </c>
      <c r="B48" s="28" t="s">
        <v>58</v>
      </c>
      <c r="C48" s="29" t="s">
        <v>192</v>
      </c>
      <c r="D48" s="29" t="s">
        <v>193</v>
      </c>
      <c r="E48" s="25">
        <v>5</v>
      </c>
      <c r="F48" s="25">
        <v>5</v>
      </c>
      <c r="G48" s="25">
        <v>5</v>
      </c>
      <c r="H48" s="26"/>
    </row>
    <row r="49" spans="1:8" ht="60" customHeight="1" x14ac:dyDescent="0.25">
      <c r="A49" s="30" t="s">
        <v>194</v>
      </c>
      <c r="B49" s="31" t="s">
        <v>92</v>
      </c>
      <c r="C49" s="32" t="s">
        <v>195</v>
      </c>
      <c r="D49" s="32" t="s">
        <v>196</v>
      </c>
      <c r="E49" s="25">
        <v>4</v>
      </c>
      <c r="F49" s="25">
        <v>5</v>
      </c>
      <c r="G49" s="25">
        <v>5</v>
      </c>
      <c r="H49" s="26"/>
    </row>
    <row r="50" spans="1:8" ht="60" customHeight="1" x14ac:dyDescent="0.25">
      <c r="A50" s="27" t="s">
        <v>197</v>
      </c>
      <c r="B50" s="28" t="s">
        <v>58</v>
      </c>
      <c r="C50" s="29" t="s">
        <v>198</v>
      </c>
      <c r="D50" s="29" t="s">
        <v>199</v>
      </c>
      <c r="E50" s="25">
        <v>5</v>
      </c>
      <c r="F50" s="25">
        <v>5</v>
      </c>
      <c r="G50" s="25">
        <v>4</v>
      </c>
      <c r="H50" s="26"/>
    </row>
    <row r="51" spans="1:8" ht="60" customHeight="1" x14ac:dyDescent="0.25">
      <c r="A51" s="27" t="s">
        <v>200</v>
      </c>
      <c r="B51" s="28" t="s">
        <v>58</v>
      </c>
      <c r="C51" s="29" t="s">
        <v>201</v>
      </c>
      <c r="D51" s="29" t="s">
        <v>202</v>
      </c>
      <c r="E51" s="25">
        <v>4</v>
      </c>
      <c r="F51" s="25">
        <v>3</v>
      </c>
      <c r="G51" s="25">
        <v>3</v>
      </c>
      <c r="H51" s="26"/>
    </row>
    <row r="52" spans="1:8" ht="60" customHeight="1" x14ac:dyDescent="0.25">
      <c r="A52" s="30" t="s">
        <v>203</v>
      </c>
      <c r="B52" s="31" t="s">
        <v>92</v>
      </c>
      <c r="C52" s="32" t="s">
        <v>204</v>
      </c>
      <c r="D52" s="32" t="s">
        <v>205</v>
      </c>
      <c r="E52" s="25">
        <v>4</v>
      </c>
      <c r="F52" s="25">
        <v>5</v>
      </c>
      <c r="G52" s="25">
        <v>4</v>
      </c>
      <c r="H52" s="26"/>
    </row>
    <row r="53" spans="1:8" ht="20.100000000000001" customHeight="1" x14ac:dyDescent="0.25">
      <c r="A53" s="41" t="s">
        <v>206</v>
      </c>
      <c r="B53" s="40"/>
      <c r="C53" s="40"/>
      <c r="D53" s="40"/>
      <c r="E53" s="33">
        <f>AVERAGE(E3:E52)</f>
        <v>4.38</v>
      </c>
      <c r="F53" s="33">
        <f>AVERAGE(F3:F52)</f>
        <v>4.3</v>
      </c>
      <c r="G53" s="33">
        <f>AVERAGE(G3:G52)</f>
        <v>4.4800000000000004</v>
      </c>
      <c r="H53" s="34"/>
    </row>
  </sheetData>
  <mergeCells count="2">
    <mergeCell ref="A53:D53"/>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
  <sheetViews>
    <sheetView workbookViewId="0">
      <pane ySplit="2" topLeftCell="A47" activePane="bottomLeft" state="frozen"/>
      <selection pane="bottomLeft" activeCell="H6" sqref="H6"/>
    </sheetView>
  </sheetViews>
  <sheetFormatPr defaultRowHeight="15" x14ac:dyDescent="0.25"/>
  <cols>
    <col min="1" max="1" width="8" customWidth="1"/>
    <col min="2" max="2" width="8" hidden="1" customWidth="1"/>
    <col min="3" max="4" width="55" customWidth="1"/>
    <col min="5" max="7" width="14" customWidth="1"/>
    <col min="8" max="8" width="25" customWidth="1"/>
  </cols>
  <sheetData>
    <row r="1" spans="1:8" ht="45" customHeight="1" x14ac:dyDescent="0.25">
      <c r="A1" s="18" t="s">
        <v>44</v>
      </c>
      <c r="B1" s="18" t="s">
        <v>45</v>
      </c>
      <c r="C1" s="19" t="s">
        <v>46</v>
      </c>
      <c r="D1" s="20" t="s">
        <v>47</v>
      </c>
      <c r="E1" s="21" t="s">
        <v>48</v>
      </c>
      <c r="F1" s="21" t="s">
        <v>49</v>
      </c>
      <c r="G1" s="21" t="s">
        <v>50</v>
      </c>
      <c r="H1" s="18" t="s">
        <v>51</v>
      </c>
    </row>
    <row r="2" spans="1:8" ht="24.95" customHeight="1" x14ac:dyDescent="0.25">
      <c r="A2" s="42" t="s">
        <v>208</v>
      </c>
      <c r="B2" s="40"/>
      <c r="C2" s="40"/>
      <c r="D2" s="40"/>
      <c r="E2" s="40"/>
      <c r="F2" s="40"/>
      <c r="G2" s="40"/>
      <c r="H2" s="40"/>
    </row>
    <row r="3" spans="1:8" ht="60" customHeight="1" x14ac:dyDescent="0.25">
      <c r="A3" s="22" t="s">
        <v>53</v>
      </c>
      <c r="B3" s="23" t="s">
        <v>54</v>
      </c>
      <c r="C3" s="24" t="s">
        <v>55</v>
      </c>
      <c r="D3" s="24" t="s">
        <v>56</v>
      </c>
      <c r="E3" s="25">
        <v>4</v>
      </c>
      <c r="F3" s="25">
        <v>5</v>
      </c>
      <c r="G3" s="25">
        <v>4</v>
      </c>
      <c r="H3" s="26"/>
    </row>
    <row r="4" spans="1:8" ht="60" customHeight="1" x14ac:dyDescent="0.25">
      <c r="A4" s="27" t="s">
        <v>57</v>
      </c>
      <c r="B4" s="28" t="s">
        <v>58</v>
      </c>
      <c r="C4" s="29" t="s">
        <v>59</v>
      </c>
      <c r="D4" s="29" t="s">
        <v>60</v>
      </c>
      <c r="E4" s="25">
        <v>4</v>
      </c>
      <c r="F4" s="25">
        <v>4</v>
      </c>
      <c r="G4" s="25">
        <v>3</v>
      </c>
      <c r="H4" s="26"/>
    </row>
    <row r="5" spans="1:8" ht="60" customHeight="1" x14ac:dyDescent="0.25">
      <c r="A5" s="22" t="s">
        <v>61</v>
      </c>
      <c r="B5" s="23" t="s">
        <v>54</v>
      </c>
      <c r="C5" s="24" t="s">
        <v>62</v>
      </c>
      <c r="D5" s="24" t="s">
        <v>63</v>
      </c>
      <c r="E5" s="25">
        <v>5</v>
      </c>
      <c r="F5" s="25">
        <v>5</v>
      </c>
      <c r="G5" s="25">
        <v>5</v>
      </c>
      <c r="H5" s="26"/>
    </row>
    <row r="6" spans="1:8" ht="60" customHeight="1" x14ac:dyDescent="0.25">
      <c r="A6" s="22" t="s">
        <v>64</v>
      </c>
      <c r="B6" s="23" t="s">
        <v>54</v>
      </c>
      <c r="C6" s="24" t="s">
        <v>65</v>
      </c>
      <c r="D6" s="24" t="s">
        <v>66</v>
      </c>
      <c r="E6" s="25">
        <v>4</v>
      </c>
      <c r="F6" s="25">
        <v>5</v>
      </c>
      <c r="G6" s="25">
        <v>5</v>
      </c>
      <c r="H6" s="26"/>
    </row>
    <row r="7" spans="1:8" ht="60" customHeight="1" x14ac:dyDescent="0.25">
      <c r="A7" s="22" t="s">
        <v>67</v>
      </c>
      <c r="B7" s="23" t="s">
        <v>54</v>
      </c>
      <c r="C7" s="24" t="s">
        <v>68</v>
      </c>
      <c r="D7" s="24" t="s">
        <v>69</v>
      </c>
      <c r="E7" s="25">
        <v>4</v>
      </c>
      <c r="F7" s="25">
        <v>5</v>
      </c>
      <c r="G7" s="25">
        <v>5</v>
      </c>
      <c r="H7" s="26"/>
    </row>
    <row r="8" spans="1:8" ht="60" customHeight="1" x14ac:dyDescent="0.25">
      <c r="A8" s="22" t="s">
        <v>70</v>
      </c>
      <c r="B8" s="23" t="s">
        <v>54</v>
      </c>
      <c r="C8" s="24" t="s">
        <v>71</v>
      </c>
      <c r="D8" s="24" t="s">
        <v>72</v>
      </c>
      <c r="E8" s="25">
        <v>4</v>
      </c>
      <c r="F8" s="25">
        <v>4</v>
      </c>
      <c r="G8" s="25">
        <v>5</v>
      </c>
      <c r="H8" s="26"/>
    </row>
    <row r="9" spans="1:8" ht="60" customHeight="1" x14ac:dyDescent="0.25">
      <c r="A9" s="27" t="s">
        <v>73</v>
      </c>
      <c r="B9" s="28" t="s">
        <v>58</v>
      </c>
      <c r="C9" s="29" t="s">
        <v>74</v>
      </c>
      <c r="D9" s="29" t="s">
        <v>75</v>
      </c>
      <c r="E9" s="25">
        <v>5</v>
      </c>
      <c r="F9" s="25">
        <v>5</v>
      </c>
      <c r="G9" s="25">
        <v>5</v>
      </c>
      <c r="H9" s="26"/>
    </row>
    <row r="10" spans="1:8" ht="60" customHeight="1" x14ac:dyDescent="0.25">
      <c r="A10" s="27" t="s">
        <v>76</v>
      </c>
      <c r="B10" s="28" t="s">
        <v>58</v>
      </c>
      <c r="C10" s="29" t="s">
        <v>77</v>
      </c>
      <c r="D10" s="29" t="s">
        <v>78</v>
      </c>
      <c r="E10" s="25">
        <v>4</v>
      </c>
      <c r="F10" s="25">
        <v>5</v>
      </c>
      <c r="G10" s="25">
        <v>4</v>
      </c>
      <c r="H10" s="26"/>
    </row>
    <row r="11" spans="1:8" ht="60" customHeight="1" x14ac:dyDescent="0.25">
      <c r="A11" s="22" t="s">
        <v>79</v>
      </c>
      <c r="B11" s="23" t="s">
        <v>54</v>
      </c>
      <c r="C11" s="24" t="s">
        <v>80</v>
      </c>
      <c r="D11" s="24" t="s">
        <v>81</v>
      </c>
      <c r="E11" s="25">
        <v>5</v>
      </c>
      <c r="F11" s="25">
        <v>5</v>
      </c>
      <c r="G11" s="25">
        <v>5</v>
      </c>
      <c r="H11" s="26"/>
    </row>
    <row r="12" spans="1:8" ht="60" customHeight="1" x14ac:dyDescent="0.25">
      <c r="A12" s="27" t="s">
        <v>82</v>
      </c>
      <c r="B12" s="28" t="s">
        <v>58</v>
      </c>
      <c r="C12" s="29" t="s">
        <v>83</v>
      </c>
      <c r="D12" s="29" t="s">
        <v>84</v>
      </c>
      <c r="E12" s="25">
        <v>5</v>
      </c>
      <c r="F12" s="25">
        <v>4</v>
      </c>
      <c r="G12" s="25">
        <v>5</v>
      </c>
      <c r="H12" s="26"/>
    </row>
    <row r="13" spans="1:8" ht="60" customHeight="1" x14ac:dyDescent="0.25">
      <c r="A13" s="22" t="s">
        <v>85</v>
      </c>
      <c r="B13" s="23" t="s">
        <v>54</v>
      </c>
      <c r="C13" s="24" t="s">
        <v>86</v>
      </c>
      <c r="D13" s="24" t="s">
        <v>87</v>
      </c>
      <c r="E13" s="25">
        <v>5</v>
      </c>
      <c r="F13" s="25">
        <v>5</v>
      </c>
      <c r="G13" s="25">
        <v>5</v>
      </c>
      <c r="H13" s="26"/>
    </row>
    <row r="14" spans="1:8" ht="60" customHeight="1" x14ac:dyDescent="0.25">
      <c r="A14" s="27" t="s">
        <v>88</v>
      </c>
      <c r="B14" s="28" t="s">
        <v>58</v>
      </c>
      <c r="C14" s="29" t="s">
        <v>89</v>
      </c>
      <c r="D14" s="29" t="s">
        <v>90</v>
      </c>
      <c r="E14" s="25">
        <v>4</v>
      </c>
      <c r="F14" s="25">
        <v>3</v>
      </c>
      <c r="G14" s="25">
        <v>2</v>
      </c>
      <c r="H14" s="26"/>
    </row>
    <row r="15" spans="1:8" ht="60" customHeight="1" x14ac:dyDescent="0.25">
      <c r="A15" s="30" t="s">
        <v>91</v>
      </c>
      <c r="B15" s="31" t="s">
        <v>92</v>
      </c>
      <c r="C15" s="32" t="s">
        <v>93</v>
      </c>
      <c r="D15" s="32" t="s">
        <v>94</v>
      </c>
      <c r="E15" s="25">
        <v>5</v>
      </c>
      <c r="F15" s="25">
        <v>4</v>
      </c>
      <c r="G15" s="25">
        <v>4</v>
      </c>
      <c r="H15" s="26"/>
    </row>
    <row r="16" spans="1:8" ht="60" customHeight="1" x14ac:dyDescent="0.25">
      <c r="A16" s="30" t="s">
        <v>95</v>
      </c>
      <c r="B16" s="31" t="s">
        <v>92</v>
      </c>
      <c r="C16" s="32" t="s">
        <v>96</v>
      </c>
      <c r="D16" s="32" t="s">
        <v>97</v>
      </c>
      <c r="E16" s="25">
        <v>4</v>
      </c>
      <c r="F16" s="25">
        <v>3</v>
      </c>
      <c r="G16" s="25">
        <v>3</v>
      </c>
      <c r="H16" s="26"/>
    </row>
    <row r="17" spans="1:8" ht="60" customHeight="1" x14ac:dyDescent="0.25">
      <c r="A17" s="27" t="s">
        <v>98</v>
      </c>
      <c r="B17" s="28" t="s">
        <v>58</v>
      </c>
      <c r="C17" s="29" t="s">
        <v>99</v>
      </c>
      <c r="D17" s="29" t="s">
        <v>100</v>
      </c>
      <c r="E17" s="25">
        <v>4</v>
      </c>
      <c r="F17" s="25">
        <v>3</v>
      </c>
      <c r="G17" s="25">
        <v>4</v>
      </c>
      <c r="H17" s="26"/>
    </row>
    <row r="18" spans="1:8" ht="60" customHeight="1" x14ac:dyDescent="0.25">
      <c r="A18" s="30" t="s">
        <v>101</v>
      </c>
      <c r="B18" s="31" t="s">
        <v>92</v>
      </c>
      <c r="C18" s="32" t="s">
        <v>102</v>
      </c>
      <c r="D18" s="32" t="s">
        <v>103</v>
      </c>
      <c r="E18" s="25">
        <v>5</v>
      </c>
      <c r="F18" s="25">
        <v>4</v>
      </c>
      <c r="G18" s="25">
        <v>5</v>
      </c>
      <c r="H18" s="26"/>
    </row>
    <row r="19" spans="1:8" ht="60" customHeight="1" x14ac:dyDescent="0.25">
      <c r="A19" s="22" t="s">
        <v>104</v>
      </c>
      <c r="B19" s="23" t="s">
        <v>54</v>
      </c>
      <c r="C19" s="24" t="s">
        <v>105</v>
      </c>
      <c r="D19" s="24" t="s">
        <v>106</v>
      </c>
      <c r="E19" s="25">
        <v>5</v>
      </c>
      <c r="F19" s="25">
        <v>5</v>
      </c>
      <c r="G19" s="25">
        <v>5</v>
      </c>
      <c r="H19" s="26"/>
    </row>
    <row r="20" spans="1:8" ht="60" customHeight="1" x14ac:dyDescent="0.25">
      <c r="A20" s="22" t="s">
        <v>107</v>
      </c>
      <c r="B20" s="23" t="s">
        <v>54</v>
      </c>
      <c r="C20" s="24" t="s">
        <v>108</v>
      </c>
      <c r="D20" s="24" t="s">
        <v>109</v>
      </c>
      <c r="E20" s="25">
        <v>5</v>
      </c>
      <c r="F20" s="25">
        <v>4</v>
      </c>
      <c r="G20" s="25">
        <v>4</v>
      </c>
      <c r="H20" s="26"/>
    </row>
    <row r="21" spans="1:8" ht="60" customHeight="1" x14ac:dyDescent="0.25">
      <c r="A21" s="27" t="s">
        <v>110</v>
      </c>
      <c r="B21" s="28" t="s">
        <v>58</v>
      </c>
      <c r="C21" s="29" t="s">
        <v>111</v>
      </c>
      <c r="D21" s="29" t="s">
        <v>112</v>
      </c>
      <c r="E21" s="25">
        <v>4</v>
      </c>
      <c r="F21" s="25">
        <v>4</v>
      </c>
      <c r="G21" s="25">
        <v>4</v>
      </c>
      <c r="H21" s="26"/>
    </row>
    <row r="22" spans="1:8" ht="60" customHeight="1" x14ac:dyDescent="0.25">
      <c r="A22" s="27" t="s">
        <v>113</v>
      </c>
      <c r="B22" s="28" t="s">
        <v>58</v>
      </c>
      <c r="C22" s="29" t="s">
        <v>114</v>
      </c>
      <c r="D22" s="29" t="s">
        <v>115</v>
      </c>
      <c r="E22" s="25">
        <v>4</v>
      </c>
      <c r="F22" s="25">
        <v>4</v>
      </c>
      <c r="G22" s="25">
        <v>4</v>
      </c>
      <c r="H22" s="26"/>
    </row>
    <row r="23" spans="1:8" ht="60" customHeight="1" x14ac:dyDescent="0.25">
      <c r="A23" s="22" t="s">
        <v>116</v>
      </c>
      <c r="B23" s="23" t="s">
        <v>54</v>
      </c>
      <c r="C23" s="24" t="s">
        <v>117</v>
      </c>
      <c r="D23" s="24" t="s">
        <v>118</v>
      </c>
      <c r="E23" s="25">
        <v>5</v>
      </c>
      <c r="F23" s="25">
        <v>4</v>
      </c>
      <c r="G23" s="25">
        <v>4</v>
      </c>
      <c r="H23" s="26"/>
    </row>
    <row r="24" spans="1:8" ht="60" customHeight="1" x14ac:dyDescent="0.25">
      <c r="A24" s="27" t="s">
        <v>119</v>
      </c>
      <c r="B24" s="28" t="s">
        <v>58</v>
      </c>
      <c r="C24" s="29" t="s">
        <v>120</v>
      </c>
      <c r="D24" s="29" t="s">
        <v>121</v>
      </c>
      <c r="E24" s="25">
        <v>4</v>
      </c>
      <c r="F24" s="25">
        <v>3</v>
      </c>
      <c r="G24" s="25">
        <v>5</v>
      </c>
      <c r="H24" s="26"/>
    </row>
    <row r="25" spans="1:8" ht="60" customHeight="1" x14ac:dyDescent="0.25">
      <c r="A25" s="27" t="s">
        <v>122</v>
      </c>
      <c r="B25" s="28" t="s">
        <v>58</v>
      </c>
      <c r="C25" s="29" t="s">
        <v>123</v>
      </c>
      <c r="D25" s="29" t="s">
        <v>124</v>
      </c>
      <c r="E25" s="25">
        <v>4</v>
      </c>
      <c r="F25" s="25">
        <v>4</v>
      </c>
      <c r="G25" s="25">
        <v>5</v>
      </c>
      <c r="H25" s="26"/>
    </row>
    <row r="26" spans="1:8" ht="60" customHeight="1" x14ac:dyDescent="0.25">
      <c r="A26" s="22" t="s">
        <v>125</v>
      </c>
      <c r="B26" s="23" t="s">
        <v>54</v>
      </c>
      <c r="C26" s="24" t="s">
        <v>126</v>
      </c>
      <c r="D26" s="24" t="s">
        <v>127</v>
      </c>
      <c r="E26" s="25">
        <v>4</v>
      </c>
      <c r="F26" s="25">
        <v>4</v>
      </c>
      <c r="G26" s="25">
        <v>5</v>
      </c>
      <c r="H26" s="26"/>
    </row>
    <row r="27" spans="1:8" ht="60" customHeight="1" x14ac:dyDescent="0.25">
      <c r="A27" s="27" t="s">
        <v>128</v>
      </c>
      <c r="B27" s="28" t="s">
        <v>58</v>
      </c>
      <c r="C27" s="29" t="s">
        <v>129</v>
      </c>
      <c r="D27" s="29" t="s">
        <v>130</v>
      </c>
      <c r="E27" s="25">
        <v>4</v>
      </c>
      <c r="F27" s="25">
        <v>5</v>
      </c>
      <c r="G27" s="25">
        <v>5</v>
      </c>
      <c r="H27" s="26"/>
    </row>
    <row r="28" spans="1:8" ht="60" customHeight="1" x14ac:dyDescent="0.25">
      <c r="A28" s="27" t="s">
        <v>131</v>
      </c>
      <c r="B28" s="28" t="s">
        <v>58</v>
      </c>
      <c r="C28" s="29" t="s">
        <v>132</v>
      </c>
      <c r="D28" s="29" t="s">
        <v>133</v>
      </c>
      <c r="E28" s="25">
        <v>5</v>
      </c>
      <c r="F28" s="25">
        <v>5</v>
      </c>
      <c r="G28" s="25">
        <v>5</v>
      </c>
      <c r="H28" s="26"/>
    </row>
    <row r="29" spans="1:8" ht="60" customHeight="1" x14ac:dyDescent="0.25">
      <c r="A29" s="22" t="s">
        <v>134</v>
      </c>
      <c r="B29" s="23" t="s">
        <v>54</v>
      </c>
      <c r="C29" s="24" t="s">
        <v>135</v>
      </c>
      <c r="D29" s="24" t="s">
        <v>136</v>
      </c>
      <c r="E29" s="25">
        <v>4</v>
      </c>
      <c r="F29" s="25">
        <v>5</v>
      </c>
      <c r="G29" s="25">
        <v>5</v>
      </c>
      <c r="H29" s="26"/>
    </row>
    <row r="30" spans="1:8" ht="60" customHeight="1" x14ac:dyDescent="0.25">
      <c r="A30" s="22" t="s">
        <v>137</v>
      </c>
      <c r="B30" s="23" t="s">
        <v>54</v>
      </c>
      <c r="C30" s="24" t="s">
        <v>138</v>
      </c>
      <c r="D30" s="24" t="s">
        <v>139</v>
      </c>
      <c r="E30" s="25">
        <v>4</v>
      </c>
      <c r="F30" s="25">
        <v>5</v>
      </c>
      <c r="G30" s="25">
        <v>4</v>
      </c>
      <c r="H30" s="26"/>
    </row>
    <row r="31" spans="1:8" ht="60" customHeight="1" x14ac:dyDescent="0.25">
      <c r="A31" s="30" t="s">
        <v>140</v>
      </c>
      <c r="B31" s="31" t="s">
        <v>92</v>
      </c>
      <c r="C31" s="32" t="s">
        <v>141</v>
      </c>
      <c r="D31" s="32" t="s">
        <v>142</v>
      </c>
      <c r="E31" s="25">
        <v>4</v>
      </c>
      <c r="F31" s="25">
        <v>5</v>
      </c>
      <c r="G31" s="25">
        <v>5</v>
      </c>
      <c r="H31" s="26"/>
    </row>
    <row r="32" spans="1:8" ht="60" customHeight="1" x14ac:dyDescent="0.25">
      <c r="A32" s="22" t="s">
        <v>143</v>
      </c>
      <c r="B32" s="23" t="s">
        <v>54</v>
      </c>
      <c r="C32" s="24" t="s">
        <v>144</v>
      </c>
      <c r="D32" s="24" t="s">
        <v>145</v>
      </c>
      <c r="E32" s="25">
        <v>4</v>
      </c>
      <c r="F32" s="25">
        <v>3</v>
      </c>
      <c r="G32" s="25">
        <v>5</v>
      </c>
      <c r="H32" s="26"/>
    </row>
    <row r="33" spans="1:8" ht="60" customHeight="1" x14ac:dyDescent="0.25">
      <c r="A33" s="22" t="s">
        <v>146</v>
      </c>
      <c r="B33" s="23" t="s">
        <v>54</v>
      </c>
      <c r="C33" s="24" t="s">
        <v>147</v>
      </c>
      <c r="D33" s="24" t="s">
        <v>148</v>
      </c>
      <c r="E33" s="25">
        <v>5</v>
      </c>
      <c r="F33" s="25">
        <v>4</v>
      </c>
      <c r="G33" s="25">
        <v>5</v>
      </c>
      <c r="H33" s="26"/>
    </row>
    <row r="34" spans="1:8" ht="60" customHeight="1" x14ac:dyDescent="0.25">
      <c r="A34" s="22" t="s">
        <v>149</v>
      </c>
      <c r="B34" s="23" t="s">
        <v>54</v>
      </c>
      <c r="C34" s="24" t="s">
        <v>150</v>
      </c>
      <c r="D34" s="24" t="s">
        <v>151</v>
      </c>
      <c r="E34" s="25">
        <v>5</v>
      </c>
      <c r="F34" s="25">
        <v>4</v>
      </c>
      <c r="G34" s="25">
        <v>5</v>
      </c>
      <c r="H34" s="26"/>
    </row>
    <row r="35" spans="1:8" ht="60" customHeight="1" x14ac:dyDescent="0.25">
      <c r="A35" s="30" t="s">
        <v>152</v>
      </c>
      <c r="B35" s="31" t="s">
        <v>92</v>
      </c>
      <c r="C35" s="32" t="s">
        <v>153</v>
      </c>
      <c r="D35" s="32" t="s">
        <v>154</v>
      </c>
      <c r="E35" s="25">
        <v>5</v>
      </c>
      <c r="F35" s="25">
        <v>5</v>
      </c>
      <c r="G35" s="25">
        <v>5</v>
      </c>
      <c r="H35" s="26"/>
    </row>
    <row r="36" spans="1:8" ht="60" customHeight="1" x14ac:dyDescent="0.25">
      <c r="A36" s="22" t="s">
        <v>155</v>
      </c>
      <c r="B36" s="23" t="s">
        <v>54</v>
      </c>
      <c r="C36" s="24" t="s">
        <v>156</v>
      </c>
      <c r="D36" s="24" t="s">
        <v>157</v>
      </c>
      <c r="E36" s="25">
        <v>4</v>
      </c>
      <c r="F36" s="25">
        <v>5</v>
      </c>
      <c r="G36" s="25">
        <v>5</v>
      </c>
      <c r="H36" s="26"/>
    </row>
    <row r="37" spans="1:8" ht="60" customHeight="1" x14ac:dyDescent="0.25">
      <c r="A37" s="30" t="s">
        <v>158</v>
      </c>
      <c r="B37" s="31" t="s">
        <v>92</v>
      </c>
      <c r="C37" s="32" t="s">
        <v>159</v>
      </c>
      <c r="D37" s="32" t="s">
        <v>160</v>
      </c>
      <c r="E37" s="25">
        <v>5</v>
      </c>
      <c r="F37" s="25">
        <v>5</v>
      </c>
      <c r="G37" s="25">
        <v>5</v>
      </c>
      <c r="H37" s="26"/>
    </row>
    <row r="38" spans="1:8" ht="60" customHeight="1" x14ac:dyDescent="0.25">
      <c r="A38" s="30" t="s">
        <v>161</v>
      </c>
      <c r="B38" s="31" t="s">
        <v>92</v>
      </c>
      <c r="C38" s="32" t="s">
        <v>162</v>
      </c>
      <c r="D38" s="32" t="s">
        <v>163</v>
      </c>
      <c r="E38" s="25">
        <v>2</v>
      </c>
      <c r="F38" s="25">
        <v>4</v>
      </c>
      <c r="G38" s="25">
        <v>4</v>
      </c>
      <c r="H38" s="26"/>
    </row>
    <row r="39" spans="1:8" ht="60" customHeight="1" x14ac:dyDescent="0.25">
      <c r="A39" s="27" t="s">
        <v>164</v>
      </c>
      <c r="B39" s="28" t="s">
        <v>58</v>
      </c>
      <c r="C39" s="29" t="s">
        <v>165</v>
      </c>
      <c r="D39" s="29" t="s">
        <v>166</v>
      </c>
      <c r="E39" s="25">
        <v>5</v>
      </c>
      <c r="F39" s="25">
        <v>3</v>
      </c>
      <c r="G39" s="25">
        <v>4</v>
      </c>
      <c r="H39" s="26"/>
    </row>
    <row r="40" spans="1:8" ht="60" customHeight="1" x14ac:dyDescent="0.25">
      <c r="A40" s="22" t="s">
        <v>167</v>
      </c>
      <c r="B40" s="23" t="s">
        <v>54</v>
      </c>
      <c r="C40" s="24" t="s">
        <v>168</v>
      </c>
      <c r="D40" s="24" t="s">
        <v>169</v>
      </c>
      <c r="E40" s="25">
        <v>5</v>
      </c>
      <c r="F40" s="25">
        <v>4</v>
      </c>
      <c r="G40" s="25">
        <v>5</v>
      </c>
      <c r="H40" s="26"/>
    </row>
    <row r="41" spans="1:8" ht="60" customHeight="1" x14ac:dyDescent="0.25">
      <c r="A41" s="27" t="s">
        <v>170</v>
      </c>
      <c r="B41" s="28" t="s">
        <v>58</v>
      </c>
      <c r="C41" s="29" t="s">
        <v>171</v>
      </c>
      <c r="D41" s="29" t="s">
        <v>172</v>
      </c>
      <c r="E41" s="25">
        <v>5</v>
      </c>
      <c r="F41" s="25">
        <v>4</v>
      </c>
      <c r="G41" s="25">
        <v>5</v>
      </c>
      <c r="H41" s="26"/>
    </row>
    <row r="42" spans="1:8" ht="60" customHeight="1" x14ac:dyDescent="0.25">
      <c r="A42" s="27" t="s">
        <v>173</v>
      </c>
      <c r="B42" s="28" t="s">
        <v>58</v>
      </c>
      <c r="C42" s="29" t="s">
        <v>174</v>
      </c>
      <c r="D42" s="29" t="s">
        <v>175</v>
      </c>
      <c r="E42" s="25">
        <v>5</v>
      </c>
      <c r="F42" s="25">
        <v>3</v>
      </c>
      <c r="G42" s="25">
        <v>4</v>
      </c>
      <c r="H42" s="26"/>
    </row>
    <row r="43" spans="1:8" ht="60" customHeight="1" x14ac:dyDescent="0.25">
      <c r="A43" s="22" t="s">
        <v>176</v>
      </c>
      <c r="B43" s="23" t="s">
        <v>54</v>
      </c>
      <c r="C43" s="24" t="s">
        <v>177</v>
      </c>
      <c r="D43" s="24" t="s">
        <v>178</v>
      </c>
      <c r="E43" s="25">
        <v>4</v>
      </c>
      <c r="F43" s="25">
        <v>5</v>
      </c>
      <c r="G43" s="25">
        <v>5</v>
      </c>
      <c r="H43" s="26"/>
    </row>
    <row r="44" spans="1:8" ht="60" customHeight="1" x14ac:dyDescent="0.25">
      <c r="A44" s="27" t="s">
        <v>179</v>
      </c>
      <c r="B44" s="28" t="s">
        <v>58</v>
      </c>
      <c r="C44" s="29" t="s">
        <v>180</v>
      </c>
      <c r="D44" s="29" t="s">
        <v>181</v>
      </c>
      <c r="E44" s="25">
        <v>4</v>
      </c>
      <c r="F44" s="25">
        <v>5</v>
      </c>
      <c r="G44" s="25">
        <v>5</v>
      </c>
      <c r="H44" s="26"/>
    </row>
    <row r="45" spans="1:8" ht="60" customHeight="1" x14ac:dyDescent="0.25">
      <c r="A45" s="30" t="s">
        <v>182</v>
      </c>
      <c r="B45" s="31" t="s">
        <v>92</v>
      </c>
      <c r="C45" s="32" t="s">
        <v>183</v>
      </c>
      <c r="D45" s="32" t="s">
        <v>184</v>
      </c>
      <c r="E45" s="25">
        <v>4</v>
      </c>
      <c r="F45" s="25">
        <v>3</v>
      </c>
      <c r="G45" s="25">
        <v>5</v>
      </c>
      <c r="H45" s="26"/>
    </row>
    <row r="46" spans="1:8" ht="60" customHeight="1" x14ac:dyDescent="0.25">
      <c r="A46" s="30" t="s">
        <v>185</v>
      </c>
      <c r="B46" s="31" t="s">
        <v>92</v>
      </c>
      <c r="C46" s="32" t="s">
        <v>186</v>
      </c>
      <c r="D46" s="32" t="s">
        <v>187</v>
      </c>
      <c r="E46" s="25">
        <v>2</v>
      </c>
      <c r="F46" s="25">
        <v>5</v>
      </c>
      <c r="G46" s="25">
        <v>5</v>
      </c>
      <c r="H46" s="26"/>
    </row>
    <row r="47" spans="1:8" ht="60" customHeight="1" x14ac:dyDescent="0.25">
      <c r="A47" s="22" t="s">
        <v>188</v>
      </c>
      <c r="B47" s="23" t="s">
        <v>54</v>
      </c>
      <c r="C47" s="24" t="s">
        <v>189</v>
      </c>
      <c r="D47" s="24" t="s">
        <v>190</v>
      </c>
      <c r="E47" s="25">
        <v>5</v>
      </c>
      <c r="F47" s="25">
        <v>5</v>
      </c>
      <c r="G47" s="25">
        <v>5</v>
      </c>
      <c r="H47" s="26"/>
    </row>
    <row r="48" spans="1:8" ht="60" customHeight="1" x14ac:dyDescent="0.25">
      <c r="A48" s="27" t="s">
        <v>191</v>
      </c>
      <c r="B48" s="28" t="s">
        <v>58</v>
      </c>
      <c r="C48" s="29" t="s">
        <v>192</v>
      </c>
      <c r="D48" s="29" t="s">
        <v>193</v>
      </c>
      <c r="E48" s="25">
        <v>5</v>
      </c>
      <c r="F48" s="25">
        <v>5</v>
      </c>
      <c r="G48" s="25">
        <v>5</v>
      </c>
      <c r="H48" s="26"/>
    </row>
    <row r="49" spans="1:8" ht="60" customHeight="1" x14ac:dyDescent="0.25">
      <c r="A49" s="30" t="s">
        <v>194</v>
      </c>
      <c r="B49" s="31" t="s">
        <v>92</v>
      </c>
      <c r="C49" s="32" t="s">
        <v>195</v>
      </c>
      <c r="D49" s="32" t="s">
        <v>196</v>
      </c>
      <c r="E49" s="25">
        <v>4</v>
      </c>
      <c r="F49" s="25">
        <v>4</v>
      </c>
      <c r="G49" s="25">
        <v>5</v>
      </c>
      <c r="H49" s="26"/>
    </row>
    <row r="50" spans="1:8" ht="60" customHeight="1" x14ac:dyDescent="0.25">
      <c r="A50" s="27" t="s">
        <v>197</v>
      </c>
      <c r="B50" s="28" t="s">
        <v>58</v>
      </c>
      <c r="C50" s="29" t="s">
        <v>198</v>
      </c>
      <c r="D50" s="29" t="s">
        <v>199</v>
      </c>
      <c r="E50" s="25">
        <v>5</v>
      </c>
      <c r="F50" s="25">
        <v>3</v>
      </c>
      <c r="G50" s="25">
        <v>5</v>
      </c>
      <c r="H50" s="26"/>
    </row>
    <row r="51" spans="1:8" ht="60" customHeight="1" x14ac:dyDescent="0.25">
      <c r="A51" s="27" t="s">
        <v>200</v>
      </c>
      <c r="B51" s="28" t="s">
        <v>58</v>
      </c>
      <c r="C51" s="29" t="s">
        <v>201</v>
      </c>
      <c r="D51" s="29" t="s">
        <v>202</v>
      </c>
      <c r="E51" s="25">
        <v>4</v>
      </c>
      <c r="F51" s="25">
        <v>4</v>
      </c>
      <c r="G51" s="25">
        <v>3</v>
      </c>
      <c r="H51" s="26"/>
    </row>
    <row r="52" spans="1:8" ht="60" customHeight="1" x14ac:dyDescent="0.25">
      <c r="A52" s="30" t="s">
        <v>203</v>
      </c>
      <c r="B52" s="31" t="s">
        <v>92</v>
      </c>
      <c r="C52" s="32" t="s">
        <v>204</v>
      </c>
      <c r="D52" s="32" t="s">
        <v>205</v>
      </c>
      <c r="E52" s="25">
        <v>4</v>
      </c>
      <c r="F52" s="25">
        <v>5</v>
      </c>
      <c r="G52" s="25">
        <v>5</v>
      </c>
      <c r="H52" s="26"/>
    </row>
    <row r="53" spans="1:8" ht="20.100000000000001" customHeight="1" x14ac:dyDescent="0.25">
      <c r="A53" s="41" t="s">
        <v>206</v>
      </c>
      <c r="B53" s="40"/>
      <c r="C53" s="40"/>
      <c r="D53" s="40"/>
      <c r="E53" s="33">
        <f>AVERAGE(E3:E52)</f>
        <v>4.3600000000000003</v>
      </c>
      <c r="F53" s="33">
        <f>AVERAGE(F3:F52)</f>
        <v>4.28</v>
      </c>
      <c r="G53" s="33">
        <f>AVERAGE(G3:G52)</f>
        <v>4.58</v>
      </c>
      <c r="H53" s="34"/>
    </row>
  </sheetData>
  <mergeCells count="2">
    <mergeCell ref="A53:D53"/>
    <mergeCell ref="A2: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7"/>
  <sheetViews>
    <sheetView tabSelected="1" workbookViewId="0">
      <pane ySplit="2" topLeftCell="A48" activePane="bottomLeft" state="frozen"/>
      <selection pane="bottomLeft" activeCell="G23" sqref="G23"/>
    </sheetView>
  </sheetViews>
  <sheetFormatPr defaultRowHeight="15" x14ac:dyDescent="0.25"/>
  <cols>
    <col min="1" max="1" width="12" customWidth="1"/>
    <col min="2" max="10" width="14" customWidth="1"/>
  </cols>
  <sheetData>
    <row r="1" spans="1:11" ht="35.1" customHeight="1" x14ac:dyDescent="0.25">
      <c r="A1" s="39" t="s">
        <v>209</v>
      </c>
      <c r="B1" s="40"/>
      <c r="C1" s="40"/>
      <c r="D1" s="40"/>
      <c r="E1" s="40"/>
      <c r="F1" s="40"/>
      <c r="G1" s="40"/>
      <c r="H1" s="40"/>
      <c r="I1" s="40"/>
      <c r="J1" s="40"/>
    </row>
    <row r="2" spans="1:11" ht="20.100000000000001" customHeight="1" x14ac:dyDescent="0.25">
      <c r="A2" s="35" t="s">
        <v>44</v>
      </c>
      <c r="B2" s="35" t="s">
        <v>210</v>
      </c>
      <c r="C2" s="35" t="s">
        <v>211</v>
      </c>
      <c r="D2" s="35" t="s">
        <v>212</v>
      </c>
      <c r="E2" s="35" t="s">
        <v>213</v>
      </c>
      <c r="F2" s="35" t="s">
        <v>214</v>
      </c>
      <c r="G2" s="35" t="s">
        <v>215</v>
      </c>
      <c r="H2" s="35" t="s">
        <v>216</v>
      </c>
      <c r="I2" s="35" t="s">
        <v>217</v>
      </c>
      <c r="J2" s="35" t="s">
        <v>218</v>
      </c>
      <c r="K2" s="35" t="s">
        <v>219</v>
      </c>
    </row>
    <row r="3" spans="1:11" x14ac:dyDescent="0.25">
      <c r="A3" s="36" t="s">
        <v>53</v>
      </c>
      <c r="B3" s="36" t="s">
        <v>54</v>
      </c>
      <c r="C3" s="37">
        <f>Annotator_1!E3</f>
        <v>4</v>
      </c>
      <c r="D3" s="37">
        <f>Annotator_1!F3</f>
        <v>5</v>
      </c>
      <c r="E3" s="37">
        <f>Annotator_1!G3</f>
        <v>4</v>
      </c>
      <c r="F3" s="37">
        <f>Annotator_2!E3</f>
        <v>4</v>
      </c>
      <c r="G3" s="37">
        <f>Annotator_2!F3</f>
        <v>5</v>
      </c>
      <c r="H3" s="37">
        <f>Annotator_2!G3</f>
        <v>4</v>
      </c>
      <c r="I3" s="37">
        <f>Annotator_3!E3</f>
        <v>4</v>
      </c>
      <c r="J3" s="37">
        <f>Annotator_3!F3</f>
        <v>5</v>
      </c>
      <c r="K3" s="37">
        <f>Annotator_3!G3</f>
        <v>4</v>
      </c>
    </row>
    <row r="4" spans="1:11" x14ac:dyDescent="0.25">
      <c r="A4" s="36" t="s">
        <v>57</v>
      </c>
      <c r="B4" s="36" t="s">
        <v>58</v>
      </c>
      <c r="C4" s="37">
        <f>Annotator_1!E4</f>
        <v>5</v>
      </c>
      <c r="D4" s="37">
        <f>Annotator_1!F4</f>
        <v>3</v>
      </c>
      <c r="E4" s="37">
        <f>Annotator_1!G4</f>
        <v>3</v>
      </c>
      <c r="F4" s="37">
        <f>Annotator_2!E4</f>
        <v>4</v>
      </c>
      <c r="G4" s="37">
        <f>Annotator_2!F4</f>
        <v>3</v>
      </c>
      <c r="H4" s="37">
        <f>Annotator_2!G4</f>
        <v>3</v>
      </c>
      <c r="I4" s="37">
        <f>Annotator_3!E4</f>
        <v>4</v>
      </c>
      <c r="J4" s="37">
        <f>Annotator_3!F4</f>
        <v>4</v>
      </c>
      <c r="K4" s="37">
        <f>Annotator_3!G4</f>
        <v>3</v>
      </c>
    </row>
    <row r="5" spans="1:11" x14ac:dyDescent="0.25">
      <c r="A5" s="36" t="s">
        <v>61</v>
      </c>
      <c r="B5" s="36" t="s">
        <v>54</v>
      </c>
      <c r="C5" s="37">
        <f>Annotator_1!E5</f>
        <v>5</v>
      </c>
      <c r="D5" s="37">
        <f>Annotator_1!F5</f>
        <v>5</v>
      </c>
      <c r="E5" s="37">
        <f>Annotator_1!G5</f>
        <v>5</v>
      </c>
      <c r="F5" s="37">
        <f>Annotator_2!E5</f>
        <v>4</v>
      </c>
      <c r="G5" s="37">
        <f>Annotator_2!F5</f>
        <v>5</v>
      </c>
      <c r="H5" s="37">
        <f>Annotator_2!G5</f>
        <v>5</v>
      </c>
      <c r="I5" s="37">
        <f>Annotator_3!E5</f>
        <v>5</v>
      </c>
      <c r="J5" s="37">
        <f>Annotator_3!F5</f>
        <v>5</v>
      </c>
      <c r="K5" s="37">
        <f>Annotator_3!G5</f>
        <v>5</v>
      </c>
    </row>
    <row r="6" spans="1:11" x14ac:dyDescent="0.25">
      <c r="A6" s="36" t="s">
        <v>64</v>
      </c>
      <c r="B6" s="36" t="s">
        <v>54</v>
      </c>
      <c r="C6" s="37">
        <f>Annotator_1!E6</f>
        <v>5</v>
      </c>
      <c r="D6" s="37">
        <f>Annotator_1!F6</f>
        <v>5</v>
      </c>
      <c r="E6" s="37">
        <f>Annotator_1!G6</f>
        <v>5</v>
      </c>
      <c r="F6" s="37">
        <f>Annotator_2!E6</f>
        <v>5</v>
      </c>
      <c r="G6" s="37">
        <f>Annotator_2!F6</f>
        <v>5</v>
      </c>
      <c r="H6" s="37">
        <f>Annotator_2!G6</f>
        <v>5</v>
      </c>
      <c r="I6" s="37">
        <f>Annotator_3!E6</f>
        <v>4</v>
      </c>
      <c r="J6" s="37">
        <f>Annotator_3!F6</f>
        <v>5</v>
      </c>
      <c r="K6" s="37">
        <f>Annotator_3!G6</f>
        <v>5</v>
      </c>
    </row>
    <row r="7" spans="1:11" x14ac:dyDescent="0.25">
      <c r="A7" s="36" t="s">
        <v>67</v>
      </c>
      <c r="B7" s="36" t="s">
        <v>54</v>
      </c>
      <c r="C7" s="37">
        <f>Annotator_1!E7</f>
        <v>5</v>
      </c>
      <c r="D7" s="37">
        <f>Annotator_1!F7</f>
        <v>5</v>
      </c>
      <c r="E7" s="37">
        <f>Annotator_1!G7</f>
        <v>5</v>
      </c>
      <c r="F7" s="37">
        <f>Annotator_2!E7</f>
        <v>5</v>
      </c>
      <c r="G7" s="37">
        <f>Annotator_2!F7</f>
        <v>4</v>
      </c>
      <c r="H7" s="37">
        <f>Annotator_2!G7</f>
        <v>5</v>
      </c>
      <c r="I7" s="37">
        <f>Annotator_3!E7</f>
        <v>4</v>
      </c>
      <c r="J7" s="37">
        <f>Annotator_3!F7</f>
        <v>5</v>
      </c>
      <c r="K7" s="37">
        <f>Annotator_3!G7</f>
        <v>5</v>
      </c>
    </row>
    <row r="8" spans="1:11" x14ac:dyDescent="0.25">
      <c r="A8" s="36" t="s">
        <v>70</v>
      </c>
      <c r="B8" s="36" t="s">
        <v>54</v>
      </c>
      <c r="C8" s="37">
        <f>Annotator_1!E8</f>
        <v>5</v>
      </c>
      <c r="D8" s="37">
        <f>Annotator_1!F8</f>
        <v>5</v>
      </c>
      <c r="E8" s="37">
        <f>Annotator_1!G8</f>
        <v>4</v>
      </c>
      <c r="F8" s="37">
        <f>Annotator_2!E8</f>
        <v>5</v>
      </c>
      <c r="G8" s="37">
        <f>Annotator_2!F8</f>
        <v>4</v>
      </c>
      <c r="H8" s="37">
        <f>Annotator_2!G8</f>
        <v>4</v>
      </c>
      <c r="I8" s="37">
        <f>Annotator_3!E8</f>
        <v>4</v>
      </c>
      <c r="J8" s="37">
        <f>Annotator_3!F8</f>
        <v>4</v>
      </c>
      <c r="K8" s="37">
        <f>Annotator_3!G8</f>
        <v>5</v>
      </c>
    </row>
    <row r="9" spans="1:11" x14ac:dyDescent="0.25">
      <c r="A9" s="36" t="s">
        <v>73</v>
      </c>
      <c r="B9" s="36" t="s">
        <v>58</v>
      </c>
      <c r="C9" s="37">
        <f>Annotator_1!E9</f>
        <v>5</v>
      </c>
      <c r="D9" s="37">
        <f>Annotator_1!F9</f>
        <v>4</v>
      </c>
      <c r="E9" s="37">
        <f>Annotator_1!G9</f>
        <v>4</v>
      </c>
      <c r="F9" s="37">
        <f>Annotator_2!E9</f>
        <v>5</v>
      </c>
      <c r="G9" s="37">
        <f>Annotator_2!F9</f>
        <v>4</v>
      </c>
      <c r="H9" s="37">
        <f>Annotator_2!G9</f>
        <v>4</v>
      </c>
      <c r="I9" s="37">
        <f>Annotator_3!E9</f>
        <v>5</v>
      </c>
      <c r="J9" s="37">
        <f>Annotator_3!F9</f>
        <v>5</v>
      </c>
      <c r="K9" s="37">
        <f>Annotator_3!G9</f>
        <v>5</v>
      </c>
    </row>
    <row r="10" spans="1:11" x14ac:dyDescent="0.25">
      <c r="A10" s="36" t="s">
        <v>76</v>
      </c>
      <c r="B10" s="36" t="s">
        <v>58</v>
      </c>
      <c r="C10" s="37">
        <f>Annotator_1!E10</f>
        <v>4</v>
      </c>
      <c r="D10" s="37">
        <f>Annotator_1!F10</f>
        <v>5</v>
      </c>
      <c r="E10" s="37">
        <f>Annotator_1!G10</f>
        <v>5</v>
      </c>
      <c r="F10" s="37">
        <f>Annotator_2!E10</f>
        <v>4</v>
      </c>
      <c r="G10" s="37">
        <f>Annotator_2!F10</f>
        <v>5</v>
      </c>
      <c r="H10" s="37">
        <f>Annotator_2!G10</f>
        <v>5</v>
      </c>
      <c r="I10" s="37">
        <f>Annotator_3!E10</f>
        <v>4</v>
      </c>
      <c r="J10" s="37">
        <f>Annotator_3!F10</f>
        <v>5</v>
      </c>
      <c r="K10" s="37">
        <f>Annotator_3!G10</f>
        <v>4</v>
      </c>
    </row>
    <row r="11" spans="1:11" x14ac:dyDescent="0.25">
      <c r="A11" s="36" t="s">
        <v>79</v>
      </c>
      <c r="B11" s="36" t="s">
        <v>54</v>
      </c>
      <c r="C11" s="37">
        <f>Annotator_1!E11</f>
        <v>5</v>
      </c>
      <c r="D11" s="37">
        <f>Annotator_1!F11</f>
        <v>5</v>
      </c>
      <c r="E11" s="37">
        <f>Annotator_1!G11</f>
        <v>4</v>
      </c>
      <c r="F11" s="37">
        <f>Annotator_2!E11</f>
        <v>5</v>
      </c>
      <c r="G11" s="37">
        <f>Annotator_2!F11</f>
        <v>5</v>
      </c>
      <c r="H11" s="37">
        <f>Annotator_2!G11</f>
        <v>4</v>
      </c>
      <c r="I11" s="37">
        <f>Annotator_3!E11</f>
        <v>5</v>
      </c>
      <c r="J11" s="37">
        <f>Annotator_3!F11</f>
        <v>5</v>
      </c>
      <c r="K11" s="37">
        <f>Annotator_3!G11</f>
        <v>5</v>
      </c>
    </row>
    <row r="12" spans="1:11" x14ac:dyDescent="0.25">
      <c r="A12" s="36" t="s">
        <v>82</v>
      </c>
      <c r="B12" s="36" t="s">
        <v>58</v>
      </c>
      <c r="C12" s="37">
        <f>Annotator_1!E12</f>
        <v>5</v>
      </c>
      <c r="D12" s="37">
        <f>Annotator_1!F12</f>
        <v>4</v>
      </c>
      <c r="E12" s="37">
        <f>Annotator_1!G12</f>
        <v>4</v>
      </c>
      <c r="F12" s="37">
        <f>Annotator_2!E12</f>
        <v>5</v>
      </c>
      <c r="G12" s="37">
        <f>Annotator_2!F12</f>
        <v>4</v>
      </c>
      <c r="H12" s="37">
        <f>Annotator_2!G12</f>
        <v>5</v>
      </c>
      <c r="I12" s="37">
        <f>Annotator_3!E12</f>
        <v>5</v>
      </c>
      <c r="J12" s="37">
        <f>Annotator_3!F12</f>
        <v>4</v>
      </c>
      <c r="K12" s="37">
        <f>Annotator_3!G12</f>
        <v>5</v>
      </c>
    </row>
    <row r="13" spans="1:11" x14ac:dyDescent="0.25">
      <c r="A13" s="36" t="s">
        <v>85</v>
      </c>
      <c r="B13" s="36" t="s">
        <v>54</v>
      </c>
      <c r="C13" s="37">
        <f>Annotator_1!E13</f>
        <v>4</v>
      </c>
      <c r="D13" s="37">
        <f>Annotator_1!F13</f>
        <v>5</v>
      </c>
      <c r="E13" s="37">
        <f>Annotator_1!G13</f>
        <v>4</v>
      </c>
      <c r="F13" s="37">
        <f>Annotator_2!E13</f>
        <v>4</v>
      </c>
      <c r="G13" s="37">
        <f>Annotator_2!F13</f>
        <v>5</v>
      </c>
      <c r="H13" s="37">
        <f>Annotator_2!G13</f>
        <v>5</v>
      </c>
      <c r="I13" s="37">
        <f>Annotator_3!E13</f>
        <v>5</v>
      </c>
      <c r="J13" s="37">
        <f>Annotator_3!F13</f>
        <v>5</v>
      </c>
      <c r="K13" s="37">
        <f>Annotator_3!G13</f>
        <v>5</v>
      </c>
    </row>
    <row r="14" spans="1:11" x14ac:dyDescent="0.25">
      <c r="A14" s="36" t="s">
        <v>88</v>
      </c>
      <c r="B14" s="36" t="s">
        <v>58</v>
      </c>
      <c r="C14" s="37">
        <f>Annotator_1!E14</f>
        <v>5</v>
      </c>
      <c r="D14" s="37">
        <f>Annotator_1!F14</f>
        <v>3</v>
      </c>
      <c r="E14" s="37">
        <f>Annotator_1!G14</f>
        <v>3</v>
      </c>
      <c r="F14" s="37">
        <f>Annotator_2!E14</f>
        <v>4</v>
      </c>
      <c r="G14" s="37">
        <f>Annotator_2!F14</f>
        <v>3</v>
      </c>
      <c r="H14" s="37">
        <f>Annotator_2!G14</f>
        <v>3</v>
      </c>
      <c r="I14" s="37">
        <f>Annotator_3!E14</f>
        <v>4</v>
      </c>
      <c r="J14" s="37">
        <f>Annotator_3!F14</f>
        <v>3</v>
      </c>
      <c r="K14" s="37">
        <f>Annotator_3!G14</f>
        <v>2</v>
      </c>
    </row>
    <row r="15" spans="1:11" x14ac:dyDescent="0.25">
      <c r="A15" s="36" t="s">
        <v>91</v>
      </c>
      <c r="B15" s="36" t="s">
        <v>92</v>
      </c>
      <c r="C15" s="37">
        <f>Annotator_1!E15</f>
        <v>5</v>
      </c>
      <c r="D15" s="37">
        <f>Annotator_1!F15</f>
        <v>5</v>
      </c>
      <c r="E15" s="37">
        <f>Annotator_1!G15</f>
        <v>4</v>
      </c>
      <c r="F15" s="37">
        <f>Annotator_2!E15</f>
        <v>4</v>
      </c>
      <c r="G15" s="37">
        <f>Annotator_2!F15</f>
        <v>4</v>
      </c>
      <c r="H15" s="37">
        <f>Annotator_2!G15</f>
        <v>4</v>
      </c>
      <c r="I15" s="37">
        <f>Annotator_3!E15</f>
        <v>5</v>
      </c>
      <c r="J15" s="37">
        <f>Annotator_3!F15</f>
        <v>4</v>
      </c>
      <c r="K15" s="37">
        <f>Annotator_3!G15</f>
        <v>4</v>
      </c>
    </row>
    <row r="16" spans="1:11" x14ac:dyDescent="0.25">
      <c r="A16" s="36" t="s">
        <v>95</v>
      </c>
      <c r="B16" s="36" t="s">
        <v>92</v>
      </c>
      <c r="C16" s="37">
        <f>Annotator_1!E16</f>
        <v>5</v>
      </c>
      <c r="D16" s="37">
        <f>Annotator_1!F16</f>
        <v>3</v>
      </c>
      <c r="E16" s="37">
        <f>Annotator_1!G16</f>
        <v>4</v>
      </c>
      <c r="F16" s="37">
        <f>Annotator_2!E16</f>
        <v>5</v>
      </c>
      <c r="G16" s="37">
        <f>Annotator_2!F16</f>
        <v>2</v>
      </c>
      <c r="H16" s="37">
        <f>Annotator_2!G16</f>
        <v>3</v>
      </c>
      <c r="I16" s="37">
        <f>Annotator_3!E16</f>
        <v>4</v>
      </c>
      <c r="J16" s="37">
        <f>Annotator_3!F16</f>
        <v>3</v>
      </c>
      <c r="K16" s="37">
        <f>Annotator_3!G16</f>
        <v>3</v>
      </c>
    </row>
    <row r="17" spans="1:11" x14ac:dyDescent="0.25">
      <c r="A17" s="36" t="s">
        <v>98</v>
      </c>
      <c r="B17" s="36" t="s">
        <v>58</v>
      </c>
      <c r="C17" s="37">
        <f>Annotator_1!E17</f>
        <v>5</v>
      </c>
      <c r="D17" s="37">
        <f>Annotator_1!F17</f>
        <v>5</v>
      </c>
      <c r="E17" s="37">
        <f>Annotator_1!G17</f>
        <v>5</v>
      </c>
      <c r="F17" s="37">
        <f>Annotator_2!E17</f>
        <v>4</v>
      </c>
      <c r="G17" s="37">
        <f>Annotator_2!F17</f>
        <v>3</v>
      </c>
      <c r="H17" s="37">
        <f>Annotator_2!G17</f>
        <v>4</v>
      </c>
      <c r="I17" s="37">
        <f>Annotator_3!E17</f>
        <v>4</v>
      </c>
      <c r="J17" s="37">
        <f>Annotator_3!F17</f>
        <v>3</v>
      </c>
      <c r="K17" s="37">
        <f>Annotator_3!G17</f>
        <v>4</v>
      </c>
    </row>
    <row r="18" spans="1:11" x14ac:dyDescent="0.25">
      <c r="A18" s="36" t="s">
        <v>101</v>
      </c>
      <c r="B18" s="36" t="s">
        <v>92</v>
      </c>
      <c r="C18" s="37">
        <f>Annotator_1!E18</f>
        <v>5</v>
      </c>
      <c r="D18" s="37">
        <f>Annotator_1!F18</f>
        <v>5</v>
      </c>
      <c r="E18" s="37">
        <f>Annotator_1!G18</f>
        <v>5</v>
      </c>
      <c r="F18" s="37">
        <f>Annotator_2!E18</f>
        <v>4</v>
      </c>
      <c r="G18" s="37">
        <f>Annotator_2!F18</f>
        <v>4</v>
      </c>
      <c r="H18" s="37">
        <f>Annotator_2!G18</f>
        <v>5</v>
      </c>
      <c r="I18" s="37">
        <f>Annotator_3!E18</f>
        <v>5</v>
      </c>
      <c r="J18" s="37">
        <f>Annotator_3!F18</f>
        <v>4</v>
      </c>
      <c r="K18" s="37">
        <f>Annotator_3!G18</f>
        <v>5</v>
      </c>
    </row>
    <row r="19" spans="1:11" x14ac:dyDescent="0.25">
      <c r="A19" s="36" t="s">
        <v>104</v>
      </c>
      <c r="B19" s="36" t="s">
        <v>54</v>
      </c>
      <c r="C19" s="37">
        <f>Annotator_1!E19</f>
        <v>5</v>
      </c>
      <c r="D19" s="37">
        <f>Annotator_1!F19</f>
        <v>5</v>
      </c>
      <c r="E19" s="37">
        <f>Annotator_1!G19</f>
        <v>5</v>
      </c>
      <c r="F19" s="37">
        <f>Annotator_2!E19</f>
        <v>5</v>
      </c>
      <c r="G19" s="37">
        <f>Annotator_2!F19</f>
        <v>4</v>
      </c>
      <c r="H19" s="37">
        <f>Annotator_2!G19</f>
        <v>5</v>
      </c>
      <c r="I19" s="37">
        <f>Annotator_3!E19</f>
        <v>5</v>
      </c>
      <c r="J19" s="37">
        <f>Annotator_3!F19</f>
        <v>5</v>
      </c>
      <c r="K19" s="37">
        <f>Annotator_3!G19</f>
        <v>5</v>
      </c>
    </row>
    <row r="20" spans="1:11" x14ac:dyDescent="0.25">
      <c r="A20" s="36" t="s">
        <v>107</v>
      </c>
      <c r="B20" s="36" t="s">
        <v>54</v>
      </c>
      <c r="C20" s="37">
        <f>Annotator_1!E20</f>
        <v>5</v>
      </c>
      <c r="D20" s="37">
        <f>Annotator_1!F20</f>
        <v>5</v>
      </c>
      <c r="E20" s="37">
        <f>Annotator_1!G20</f>
        <v>5</v>
      </c>
      <c r="F20" s="37">
        <f>Annotator_2!E20</f>
        <v>5</v>
      </c>
      <c r="G20" s="37">
        <f>Annotator_2!F20</f>
        <v>5</v>
      </c>
      <c r="H20" s="37">
        <f>Annotator_2!G20</f>
        <v>4</v>
      </c>
      <c r="I20" s="37">
        <f>Annotator_3!E20</f>
        <v>5</v>
      </c>
      <c r="J20" s="37">
        <f>Annotator_3!F20</f>
        <v>4</v>
      </c>
      <c r="K20" s="37">
        <f>Annotator_3!G20</f>
        <v>4</v>
      </c>
    </row>
    <row r="21" spans="1:11" x14ac:dyDescent="0.25">
      <c r="A21" s="36" t="s">
        <v>110</v>
      </c>
      <c r="B21" s="36" t="s">
        <v>58</v>
      </c>
      <c r="C21" s="37">
        <f>Annotator_1!E21</f>
        <v>5</v>
      </c>
      <c r="D21" s="37">
        <f>Annotator_1!F21</f>
        <v>4</v>
      </c>
      <c r="E21" s="37">
        <f>Annotator_1!G21</f>
        <v>4</v>
      </c>
      <c r="F21" s="37">
        <f>Annotator_2!E21</f>
        <v>5</v>
      </c>
      <c r="G21" s="37">
        <f>Annotator_2!F21</f>
        <v>4</v>
      </c>
      <c r="H21" s="37">
        <f>Annotator_2!G21</f>
        <v>4</v>
      </c>
      <c r="I21" s="37">
        <f>Annotator_3!E21</f>
        <v>4</v>
      </c>
      <c r="J21" s="37">
        <f>Annotator_3!F21</f>
        <v>4</v>
      </c>
      <c r="K21" s="37">
        <f>Annotator_3!G21</f>
        <v>4</v>
      </c>
    </row>
    <row r="22" spans="1:11" x14ac:dyDescent="0.25">
      <c r="A22" s="36" t="s">
        <v>113</v>
      </c>
      <c r="B22" s="36" t="s">
        <v>58</v>
      </c>
      <c r="C22" s="37">
        <f>Annotator_1!E22</f>
        <v>4</v>
      </c>
      <c r="D22" s="37">
        <f>Annotator_1!F22</f>
        <v>5</v>
      </c>
      <c r="E22" s="37">
        <f>Annotator_1!G22</f>
        <v>4</v>
      </c>
      <c r="F22" s="37">
        <f>Annotator_2!E22</f>
        <v>4</v>
      </c>
      <c r="G22" s="37">
        <f>Annotator_2!F22</f>
        <v>4</v>
      </c>
      <c r="H22" s="37">
        <f>Annotator_2!G22</f>
        <v>4</v>
      </c>
      <c r="I22" s="37">
        <f>Annotator_3!E22</f>
        <v>4</v>
      </c>
      <c r="J22" s="37">
        <f>Annotator_3!F22</f>
        <v>4</v>
      </c>
      <c r="K22" s="37">
        <f>Annotator_3!G22</f>
        <v>4</v>
      </c>
    </row>
    <row r="23" spans="1:11" x14ac:dyDescent="0.25">
      <c r="A23" s="36" t="s">
        <v>116</v>
      </c>
      <c r="B23" s="36" t="s">
        <v>54</v>
      </c>
      <c r="C23" s="37">
        <f>Annotator_1!E23</f>
        <v>4</v>
      </c>
      <c r="D23" s="37">
        <f>Annotator_1!F23</f>
        <v>5</v>
      </c>
      <c r="E23" s="37">
        <f>Annotator_1!G23</f>
        <v>4</v>
      </c>
      <c r="F23" s="37">
        <f>Annotator_2!E23</f>
        <v>5</v>
      </c>
      <c r="G23" s="37">
        <f>Annotator_2!F23</f>
        <v>5</v>
      </c>
      <c r="H23" s="37">
        <f>Annotator_2!G23</f>
        <v>4</v>
      </c>
      <c r="I23" s="37">
        <f>Annotator_3!E23</f>
        <v>5</v>
      </c>
      <c r="J23" s="37">
        <f>Annotator_3!F23</f>
        <v>4</v>
      </c>
      <c r="K23" s="37">
        <f>Annotator_3!G23</f>
        <v>4</v>
      </c>
    </row>
    <row r="24" spans="1:11" x14ac:dyDescent="0.25">
      <c r="A24" s="36" t="s">
        <v>119</v>
      </c>
      <c r="B24" s="36" t="s">
        <v>58</v>
      </c>
      <c r="C24" s="37">
        <f>Annotator_1!E24</f>
        <v>4</v>
      </c>
      <c r="D24" s="37">
        <f>Annotator_1!F24</f>
        <v>5</v>
      </c>
      <c r="E24" s="37">
        <f>Annotator_1!G24</f>
        <v>4</v>
      </c>
      <c r="F24" s="37">
        <f>Annotator_2!E24</f>
        <v>4</v>
      </c>
      <c r="G24" s="37">
        <f>Annotator_2!F24</f>
        <v>5</v>
      </c>
      <c r="H24" s="37">
        <f>Annotator_2!G24</f>
        <v>5</v>
      </c>
      <c r="I24" s="37">
        <f>Annotator_3!E24</f>
        <v>4</v>
      </c>
      <c r="J24" s="37">
        <f>Annotator_3!F24</f>
        <v>3</v>
      </c>
      <c r="K24" s="37">
        <f>Annotator_3!G24</f>
        <v>5</v>
      </c>
    </row>
    <row r="25" spans="1:11" x14ac:dyDescent="0.25">
      <c r="A25" s="36" t="s">
        <v>122</v>
      </c>
      <c r="B25" s="36" t="s">
        <v>58</v>
      </c>
      <c r="C25" s="37">
        <f>Annotator_1!E25</f>
        <v>4</v>
      </c>
      <c r="D25" s="37">
        <f>Annotator_1!F25</f>
        <v>5</v>
      </c>
      <c r="E25" s="37">
        <f>Annotator_1!G25</f>
        <v>4</v>
      </c>
      <c r="F25" s="37">
        <f>Annotator_2!E25</f>
        <v>4</v>
      </c>
      <c r="G25" s="37">
        <f>Annotator_2!F25</f>
        <v>4</v>
      </c>
      <c r="H25" s="37">
        <f>Annotator_2!G25</f>
        <v>5</v>
      </c>
      <c r="I25" s="37">
        <f>Annotator_3!E25</f>
        <v>4</v>
      </c>
      <c r="J25" s="37">
        <f>Annotator_3!F25</f>
        <v>4</v>
      </c>
      <c r="K25" s="37">
        <f>Annotator_3!G25</f>
        <v>5</v>
      </c>
    </row>
    <row r="26" spans="1:11" x14ac:dyDescent="0.25">
      <c r="A26" s="36" t="s">
        <v>125</v>
      </c>
      <c r="B26" s="36" t="s">
        <v>54</v>
      </c>
      <c r="C26" s="37">
        <f>Annotator_1!E26</f>
        <v>3</v>
      </c>
      <c r="D26" s="37">
        <f>Annotator_1!F26</f>
        <v>4</v>
      </c>
      <c r="E26" s="37">
        <f>Annotator_1!G26</f>
        <v>5</v>
      </c>
      <c r="F26" s="37">
        <f>Annotator_2!E26</f>
        <v>4</v>
      </c>
      <c r="G26" s="37">
        <f>Annotator_2!F26</f>
        <v>4</v>
      </c>
      <c r="H26" s="37">
        <f>Annotator_2!G26</f>
        <v>5</v>
      </c>
      <c r="I26" s="37">
        <f>Annotator_3!E26</f>
        <v>4</v>
      </c>
      <c r="J26" s="37">
        <f>Annotator_3!F26</f>
        <v>4</v>
      </c>
      <c r="K26" s="37">
        <f>Annotator_3!G26</f>
        <v>5</v>
      </c>
    </row>
    <row r="27" spans="1:11" x14ac:dyDescent="0.25">
      <c r="A27" s="36" t="s">
        <v>128</v>
      </c>
      <c r="B27" s="36" t="s">
        <v>58</v>
      </c>
      <c r="C27" s="37">
        <f>Annotator_1!E27</f>
        <v>4</v>
      </c>
      <c r="D27" s="37">
        <f>Annotator_1!F27</f>
        <v>5</v>
      </c>
      <c r="E27" s="37">
        <f>Annotator_1!G27</f>
        <v>5</v>
      </c>
      <c r="F27" s="37">
        <f>Annotator_2!E27</f>
        <v>4</v>
      </c>
      <c r="G27" s="37">
        <f>Annotator_2!F27</f>
        <v>5</v>
      </c>
      <c r="H27" s="37">
        <f>Annotator_2!G27</f>
        <v>5</v>
      </c>
      <c r="I27" s="37">
        <f>Annotator_3!E27</f>
        <v>4</v>
      </c>
      <c r="J27" s="37">
        <f>Annotator_3!F27</f>
        <v>5</v>
      </c>
      <c r="K27" s="37">
        <f>Annotator_3!G27</f>
        <v>5</v>
      </c>
    </row>
    <row r="28" spans="1:11" x14ac:dyDescent="0.25">
      <c r="A28" s="36" t="s">
        <v>131</v>
      </c>
      <c r="B28" s="36" t="s">
        <v>58</v>
      </c>
      <c r="C28" s="37">
        <f>Annotator_1!E28</f>
        <v>5</v>
      </c>
      <c r="D28" s="37">
        <f>Annotator_1!F28</f>
        <v>5</v>
      </c>
      <c r="E28" s="37">
        <f>Annotator_1!G28</f>
        <v>4</v>
      </c>
      <c r="F28" s="37">
        <f>Annotator_2!E28</f>
        <v>5</v>
      </c>
      <c r="G28" s="37">
        <f>Annotator_2!F28</f>
        <v>4</v>
      </c>
      <c r="H28" s="37">
        <f>Annotator_2!G28</f>
        <v>4</v>
      </c>
      <c r="I28" s="37">
        <f>Annotator_3!E28</f>
        <v>5</v>
      </c>
      <c r="J28" s="37">
        <f>Annotator_3!F28</f>
        <v>5</v>
      </c>
      <c r="K28" s="37">
        <f>Annotator_3!G28</f>
        <v>5</v>
      </c>
    </row>
    <row r="29" spans="1:11" x14ac:dyDescent="0.25">
      <c r="A29" s="36" t="s">
        <v>134</v>
      </c>
      <c r="B29" s="36" t="s">
        <v>54</v>
      </c>
      <c r="C29" s="37">
        <f>Annotator_1!E29</f>
        <v>5</v>
      </c>
      <c r="D29" s="37">
        <f>Annotator_1!F29</f>
        <v>5</v>
      </c>
      <c r="E29" s="37">
        <f>Annotator_1!G29</f>
        <v>5</v>
      </c>
      <c r="F29" s="37">
        <f>Annotator_2!E29</f>
        <v>4</v>
      </c>
      <c r="G29" s="37">
        <f>Annotator_2!F29</f>
        <v>5</v>
      </c>
      <c r="H29" s="37">
        <f>Annotator_2!G29</f>
        <v>5</v>
      </c>
      <c r="I29" s="37">
        <f>Annotator_3!E29</f>
        <v>4</v>
      </c>
      <c r="J29" s="37">
        <f>Annotator_3!F29</f>
        <v>5</v>
      </c>
      <c r="K29" s="37">
        <f>Annotator_3!G29</f>
        <v>5</v>
      </c>
    </row>
    <row r="30" spans="1:11" x14ac:dyDescent="0.25">
      <c r="A30" s="36" t="s">
        <v>137</v>
      </c>
      <c r="B30" s="36" t="s">
        <v>54</v>
      </c>
      <c r="C30" s="37">
        <f>Annotator_1!E30</f>
        <v>5</v>
      </c>
      <c r="D30" s="37">
        <f>Annotator_1!F30</f>
        <v>5</v>
      </c>
      <c r="E30" s="37">
        <f>Annotator_1!G30</f>
        <v>4</v>
      </c>
      <c r="F30" s="37">
        <f>Annotator_2!E30</f>
        <v>4</v>
      </c>
      <c r="G30" s="37">
        <f>Annotator_2!F30</f>
        <v>5</v>
      </c>
      <c r="H30" s="37">
        <f>Annotator_2!G30</f>
        <v>4</v>
      </c>
      <c r="I30" s="37">
        <f>Annotator_3!E30</f>
        <v>4</v>
      </c>
      <c r="J30" s="37">
        <f>Annotator_3!F30</f>
        <v>5</v>
      </c>
      <c r="K30" s="37">
        <f>Annotator_3!G30</f>
        <v>4</v>
      </c>
    </row>
    <row r="31" spans="1:11" x14ac:dyDescent="0.25">
      <c r="A31" s="36" t="s">
        <v>140</v>
      </c>
      <c r="B31" s="36" t="s">
        <v>92</v>
      </c>
      <c r="C31" s="37">
        <f>Annotator_1!E31</f>
        <v>4</v>
      </c>
      <c r="D31" s="37">
        <f>Annotator_1!F31</f>
        <v>5</v>
      </c>
      <c r="E31" s="37">
        <f>Annotator_1!G31</f>
        <v>5</v>
      </c>
      <c r="F31" s="37">
        <f>Annotator_2!E31</f>
        <v>4</v>
      </c>
      <c r="G31" s="37">
        <f>Annotator_2!F31</f>
        <v>5</v>
      </c>
      <c r="H31" s="37">
        <f>Annotator_2!G31</f>
        <v>5</v>
      </c>
      <c r="I31" s="37">
        <f>Annotator_3!E31</f>
        <v>4</v>
      </c>
      <c r="J31" s="37">
        <f>Annotator_3!F31</f>
        <v>5</v>
      </c>
      <c r="K31" s="37">
        <f>Annotator_3!G31</f>
        <v>5</v>
      </c>
    </row>
    <row r="32" spans="1:11" x14ac:dyDescent="0.25">
      <c r="A32" s="36" t="s">
        <v>143</v>
      </c>
      <c r="B32" s="36" t="s">
        <v>54</v>
      </c>
      <c r="C32" s="37">
        <f>Annotator_1!E32</f>
        <v>5</v>
      </c>
      <c r="D32" s="37">
        <f>Annotator_1!F32</f>
        <v>5</v>
      </c>
      <c r="E32" s="37">
        <f>Annotator_1!G32</f>
        <v>5</v>
      </c>
      <c r="F32" s="37">
        <f>Annotator_2!E32</f>
        <v>4</v>
      </c>
      <c r="G32" s="37">
        <f>Annotator_2!F32</f>
        <v>5</v>
      </c>
      <c r="H32" s="37">
        <f>Annotator_2!G32</f>
        <v>5</v>
      </c>
      <c r="I32" s="37">
        <f>Annotator_3!E32</f>
        <v>4</v>
      </c>
      <c r="J32" s="37">
        <f>Annotator_3!F32</f>
        <v>3</v>
      </c>
      <c r="K32" s="37">
        <f>Annotator_3!G32</f>
        <v>5</v>
      </c>
    </row>
    <row r="33" spans="1:11" x14ac:dyDescent="0.25">
      <c r="A33" s="36" t="s">
        <v>146</v>
      </c>
      <c r="B33" s="36" t="s">
        <v>54</v>
      </c>
      <c r="C33" s="37">
        <f>Annotator_1!E33</f>
        <v>5</v>
      </c>
      <c r="D33" s="37">
        <f>Annotator_1!F33</f>
        <v>5</v>
      </c>
      <c r="E33" s="37">
        <f>Annotator_1!G33</f>
        <v>5</v>
      </c>
      <c r="F33" s="37">
        <f>Annotator_2!E33</f>
        <v>5</v>
      </c>
      <c r="G33" s="37">
        <f>Annotator_2!F33</f>
        <v>4</v>
      </c>
      <c r="H33" s="37">
        <f>Annotator_2!G33</f>
        <v>5</v>
      </c>
      <c r="I33" s="37">
        <f>Annotator_3!E33</f>
        <v>5</v>
      </c>
      <c r="J33" s="37">
        <f>Annotator_3!F33</f>
        <v>4</v>
      </c>
      <c r="K33" s="37">
        <f>Annotator_3!G33</f>
        <v>5</v>
      </c>
    </row>
    <row r="34" spans="1:11" x14ac:dyDescent="0.25">
      <c r="A34" s="36" t="s">
        <v>149</v>
      </c>
      <c r="B34" s="36" t="s">
        <v>54</v>
      </c>
      <c r="C34" s="37">
        <f>Annotator_1!E34</f>
        <v>5</v>
      </c>
      <c r="D34" s="37">
        <f>Annotator_1!F34</f>
        <v>5</v>
      </c>
      <c r="E34" s="37">
        <f>Annotator_1!G34</f>
        <v>5</v>
      </c>
      <c r="F34" s="37">
        <f>Annotator_2!E34</f>
        <v>5</v>
      </c>
      <c r="G34" s="37">
        <f>Annotator_2!F34</f>
        <v>4</v>
      </c>
      <c r="H34" s="37">
        <f>Annotator_2!G34</f>
        <v>5</v>
      </c>
      <c r="I34" s="37">
        <f>Annotator_3!E34</f>
        <v>5</v>
      </c>
      <c r="J34" s="37">
        <f>Annotator_3!F34</f>
        <v>4</v>
      </c>
      <c r="K34" s="37">
        <f>Annotator_3!G34</f>
        <v>5</v>
      </c>
    </row>
    <row r="35" spans="1:11" x14ac:dyDescent="0.25">
      <c r="A35" s="36" t="s">
        <v>152</v>
      </c>
      <c r="B35" s="36" t="s">
        <v>92</v>
      </c>
      <c r="C35" s="37">
        <f>Annotator_1!E35</f>
        <v>4</v>
      </c>
      <c r="D35" s="37">
        <f>Annotator_1!F35</f>
        <v>4</v>
      </c>
      <c r="E35" s="37">
        <f>Annotator_1!G35</f>
        <v>4</v>
      </c>
      <c r="F35" s="37">
        <f>Annotator_2!E35</f>
        <v>5</v>
      </c>
      <c r="G35" s="37">
        <f>Annotator_2!F35</f>
        <v>5</v>
      </c>
      <c r="H35" s="37">
        <f>Annotator_2!G35</f>
        <v>4</v>
      </c>
      <c r="I35" s="37">
        <f>Annotator_3!E35</f>
        <v>5</v>
      </c>
      <c r="J35" s="37">
        <f>Annotator_3!F35</f>
        <v>5</v>
      </c>
      <c r="K35" s="37">
        <f>Annotator_3!G35</f>
        <v>5</v>
      </c>
    </row>
    <row r="36" spans="1:11" x14ac:dyDescent="0.25">
      <c r="A36" s="36" t="s">
        <v>155</v>
      </c>
      <c r="B36" s="36" t="s">
        <v>54</v>
      </c>
      <c r="C36" s="37">
        <f>Annotator_1!E36</f>
        <v>5</v>
      </c>
      <c r="D36" s="37">
        <f>Annotator_1!F36</f>
        <v>5</v>
      </c>
      <c r="E36" s="37">
        <f>Annotator_1!G36</f>
        <v>5</v>
      </c>
      <c r="F36" s="37">
        <f>Annotator_2!E36</f>
        <v>4</v>
      </c>
      <c r="G36" s="37">
        <f>Annotator_2!F36</f>
        <v>5</v>
      </c>
      <c r="H36" s="37">
        <f>Annotator_2!G36</f>
        <v>5</v>
      </c>
      <c r="I36" s="37">
        <f>Annotator_3!E36</f>
        <v>4</v>
      </c>
      <c r="J36" s="37">
        <f>Annotator_3!F36</f>
        <v>5</v>
      </c>
      <c r="K36" s="37">
        <f>Annotator_3!G36</f>
        <v>5</v>
      </c>
    </row>
    <row r="37" spans="1:11" x14ac:dyDescent="0.25">
      <c r="A37" s="36" t="s">
        <v>158</v>
      </c>
      <c r="B37" s="36" t="s">
        <v>92</v>
      </c>
      <c r="C37" s="37">
        <f>Annotator_1!E37</f>
        <v>5</v>
      </c>
      <c r="D37" s="37">
        <f>Annotator_1!F37</f>
        <v>5</v>
      </c>
      <c r="E37" s="37">
        <f>Annotator_1!G37</f>
        <v>5</v>
      </c>
      <c r="F37" s="37">
        <f>Annotator_2!E37</f>
        <v>5</v>
      </c>
      <c r="G37" s="37">
        <f>Annotator_2!F37</f>
        <v>4</v>
      </c>
      <c r="H37" s="37">
        <f>Annotator_2!G37</f>
        <v>5</v>
      </c>
      <c r="I37" s="37">
        <f>Annotator_3!E37</f>
        <v>5</v>
      </c>
      <c r="J37" s="37">
        <f>Annotator_3!F37</f>
        <v>5</v>
      </c>
      <c r="K37" s="37">
        <f>Annotator_3!G37</f>
        <v>5</v>
      </c>
    </row>
    <row r="38" spans="1:11" x14ac:dyDescent="0.25">
      <c r="A38" s="36" t="s">
        <v>161</v>
      </c>
      <c r="B38" s="36" t="s">
        <v>92</v>
      </c>
      <c r="C38" s="37">
        <f>Annotator_1!E38</f>
        <v>2</v>
      </c>
      <c r="D38" s="37">
        <f>Annotator_1!F38</f>
        <v>5</v>
      </c>
      <c r="E38" s="37">
        <f>Annotator_1!G38</f>
        <v>4</v>
      </c>
      <c r="F38" s="37">
        <f>Annotator_2!E38</f>
        <v>2</v>
      </c>
      <c r="G38" s="37">
        <f>Annotator_2!F38</f>
        <v>4</v>
      </c>
      <c r="H38" s="37">
        <f>Annotator_2!G38</f>
        <v>4</v>
      </c>
      <c r="I38" s="37">
        <f>Annotator_3!E38</f>
        <v>2</v>
      </c>
      <c r="J38" s="37">
        <f>Annotator_3!F38</f>
        <v>4</v>
      </c>
      <c r="K38" s="37">
        <f>Annotator_3!G38</f>
        <v>4</v>
      </c>
    </row>
    <row r="39" spans="1:11" x14ac:dyDescent="0.25">
      <c r="A39" s="36" t="s">
        <v>164</v>
      </c>
      <c r="B39" s="36" t="s">
        <v>58</v>
      </c>
      <c r="C39" s="37">
        <f>Annotator_1!E39</f>
        <v>5</v>
      </c>
      <c r="D39" s="37">
        <f>Annotator_1!F39</f>
        <v>5</v>
      </c>
      <c r="E39" s="37">
        <f>Annotator_1!G39</f>
        <v>5</v>
      </c>
      <c r="F39" s="37">
        <f>Annotator_2!E39</f>
        <v>5</v>
      </c>
      <c r="G39" s="37">
        <f>Annotator_2!F39</f>
        <v>5</v>
      </c>
      <c r="H39" s="37">
        <f>Annotator_2!G39</f>
        <v>5</v>
      </c>
      <c r="I39" s="37">
        <f>Annotator_3!E39</f>
        <v>5</v>
      </c>
      <c r="J39" s="37">
        <f>Annotator_3!F39</f>
        <v>3</v>
      </c>
      <c r="K39" s="37">
        <f>Annotator_3!G39</f>
        <v>4</v>
      </c>
    </row>
    <row r="40" spans="1:11" x14ac:dyDescent="0.25">
      <c r="A40" s="36" t="s">
        <v>167</v>
      </c>
      <c r="B40" s="36" t="s">
        <v>54</v>
      </c>
      <c r="C40" s="37">
        <f>Annotator_1!E40</f>
        <v>5</v>
      </c>
      <c r="D40" s="37">
        <f>Annotator_1!F40</f>
        <v>5</v>
      </c>
      <c r="E40" s="37">
        <f>Annotator_1!G40</f>
        <v>5</v>
      </c>
      <c r="F40" s="37">
        <f>Annotator_2!E40</f>
        <v>5</v>
      </c>
      <c r="G40" s="37">
        <f>Annotator_2!F40</f>
        <v>5</v>
      </c>
      <c r="H40" s="37">
        <f>Annotator_2!G40</f>
        <v>5</v>
      </c>
      <c r="I40" s="37">
        <f>Annotator_3!E40</f>
        <v>5</v>
      </c>
      <c r="J40" s="37">
        <f>Annotator_3!F40</f>
        <v>4</v>
      </c>
      <c r="K40" s="37">
        <f>Annotator_3!G40</f>
        <v>5</v>
      </c>
    </row>
    <row r="41" spans="1:11" x14ac:dyDescent="0.25">
      <c r="A41" s="36" t="s">
        <v>170</v>
      </c>
      <c r="B41" s="36" t="s">
        <v>58</v>
      </c>
      <c r="C41" s="37">
        <f>Annotator_1!E41</f>
        <v>5</v>
      </c>
      <c r="D41" s="37">
        <f>Annotator_1!F41</f>
        <v>5</v>
      </c>
      <c r="E41" s="37">
        <f>Annotator_1!G41</f>
        <v>5</v>
      </c>
      <c r="F41" s="37">
        <f>Annotator_2!E41</f>
        <v>5</v>
      </c>
      <c r="G41" s="37">
        <f>Annotator_2!F41</f>
        <v>4</v>
      </c>
      <c r="H41" s="37">
        <f>Annotator_2!G41</f>
        <v>5</v>
      </c>
      <c r="I41" s="37">
        <f>Annotator_3!E41</f>
        <v>5</v>
      </c>
      <c r="J41" s="37">
        <f>Annotator_3!F41</f>
        <v>4</v>
      </c>
      <c r="K41" s="37">
        <f>Annotator_3!G41</f>
        <v>5</v>
      </c>
    </row>
    <row r="42" spans="1:11" x14ac:dyDescent="0.25">
      <c r="A42" s="36" t="s">
        <v>173</v>
      </c>
      <c r="B42" s="36" t="s">
        <v>58</v>
      </c>
      <c r="C42" s="37">
        <f>Annotator_1!E42</f>
        <v>5</v>
      </c>
      <c r="D42" s="37">
        <f>Annotator_1!F42</f>
        <v>3</v>
      </c>
      <c r="E42" s="37">
        <f>Annotator_1!G42</f>
        <v>5</v>
      </c>
      <c r="F42" s="37">
        <f>Annotator_2!E42</f>
        <v>5</v>
      </c>
      <c r="G42" s="37">
        <f>Annotator_2!F42</f>
        <v>3</v>
      </c>
      <c r="H42" s="37">
        <f>Annotator_2!G42</f>
        <v>5</v>
      </c>
      <c r="I42" s="37">
        <f>Annotator_3!E42</f>
        <v>5</v>
      </c>
      <c r="J42" s="37">
        <f>Annotator_3!F42</f>
        <v>3</v>
      </c>
      <c r="K42" s="37">
        <f>Annotator_3!G42</f>
        <v>4</v>
      </c>
    </row>
    <row r="43" spans="1:11" x14ac:dyDescent="0.25">
      <c r="A43" s="36" t="s">
        <v>176</v>
      </c>
      <c r="B43" s="36" t="s">
        <v>54</v>
      </c>
      <c r="C43" s="37">
        <f>Annotator_1!E43</f>
        <v>5</v>
      </c>
      <c r="D43" s="37">
        <f>Annotator_1!F43</f>
        <v>5</v>
      </c>
      <c r="E43" s="37">
        <f>Annotator_1!G43</f>
        <v>5</v>
      </c>
      <c r="F43" s="37">
        <f>Annotator_2!E43</f>
        <v>4</v>
      </c>
      <c r="G43" s="37">
        <f>Annotator_2!F43</f>
        <v>4</v>
      </c>
      <c r="H43" s="37">
        <f>Annotator_2!G43</f>
        <v>5</v>
      </c>
      <c r="I43" s="37">
        <f>Annotator_3!E43</f>
        <v>4</v>
      </c>
      <c r="J43" s="37">
        <f>Annotator_3!F43</f>
        <v>5</v>
      </c>
      <c r="K43" s="37">
        <f>Annotator_3!G43</f>
        <v>5</v>
      </c>
    </row>
    <row r="44" spans="1:11" x14ac:dyDescent="0.25">
      <c r="A44" s="36" t="s">
        <v>179</v>
      </c>
      <c r="B44" s="36" t="s">
        <v>58</v>
      </c>
      <c r="C44" s="37">
        <f>Annotator_1!E44</f>
        <v>5</v>
      </c>
      <c r="D44" s="37">
        <f>Annotator_1!F44</f>
        <v>4</v>
      </c>
      <c r="E44" s="37">
        <f>Annotator_1!G44</f>
        <v>5</v>
      </c>
      <c r="F44" s="37">
        <f>Annotator_2!E44</f>
        <v>4</v>
      </c>
      <c r="G44" s="37">
        <f>Annotator_2!F44</f>
        <v>4</v>
      </c>
      <c r="H44" s="37">
        <f>Annotator_2!G44</f>
        <v>5</v>
      </c>
      <c r="I44" s="37">
        <f>Annotator_3!E44</f>
        <v>4</v>
      </c>
      <c r="J44" s="37">
        <f>Annotator_3!F44</f>
        <v>5</v>
      </c>
      <c r="K44" s="37">
        <f>Annotator_3!G44</f>
        <v>5</v>
      </c>
    </row>
    <row r="45" spans="1:11" x14ac:dyDescent="0.25">
      <c r="A45" s="36" t="s">
        <v>182</v>
      </c>
      <c r="B45" s="36" t="s">
        <v>92</v>
      </c>
      <c r="C45" s="37">
        <f>Annotator_1!E45</f>
        <v>5</v>
      </c>
      <c r="D45" s="37">
        <f>Annotator_1!F45</f>
        <v>3</v>
      </c>
      <c r="E45" s="37">
        <f>Annotator_1!G45</f>
        <v>4</v>
      </c>
      <c r="F45" s="37">
        <f>Annotator_2!E45</f>
        <v>4</v>
      </c>
      <c r="G45" s="37">
        <f>Annotator_2!F45</f>
        <v>2</v>
      </c>
      <c r="H45" s="37">
        <f>Annotator_2!G45</f>
        <v>4</v>
      </c>
      <c r="I45" s="37">
        <f>Annotator_3!E45</f>
        <v>4</v>
      </c>
      <c r="J45" s="37">
        <f>Annotator_3!F45</f>
        <v>3</v>
      </c>
      <c r="K45" s="37">
        <f>Annotator_3!G45</f>
        <v>5</v>
      </c>
    </row>
    <row r="46" spans="1:11" x14ac:dyDescent="0.25">
      <c r="A46" s="36" t="s">
        <v>185</v>
      </c>
      <c r="B46" s="36" t="s">
        <v>92</v>
      </c>
      <c r="C46" s="37">
        <f>Annotator_1!E46</f>
        <v>3</v>
      </c>
      <c r="D46" s="37">
        <f>Annotator_1!F46</f>
        <v>5</v>
      </c>
      <c r="E46" s="37">
        <f>Annotator_1!G46</f>
        <v>4</v>
      </c>
      <c r="F46" s="37">
        <f>Annotator_2!E46</f>
        <v>2</v>
      </c>
      <c r="G46" s="37">
        <f>Annotator_2!F46</f>
        <v>5</v>
      </c>
      <c r="H46" s="37">
        <f>Annotator_2!G46</f>
        <v>4</v>
      </c>
      <c r="I46" s="37">
        <f>Annotator_3!E46</f>
        <v>2</v>
      </c>
      <c r="J46" s="37">
        <f>Annotator_3!F46</f>
        <v>5</v>
      </c>
      <c r="K46" s="37">
        <f>Annotator_3!G46</f>
        <v>5</v>
      </c>
    </row>
    <row r="47" spans="1:11" x14ac:dyDescent="0.25">
      <c r="A47" s="36" t="s">
        <v>188</v>
      </c>
      <c r="B47" s="36" t="s">
        <v>54</v>
      </c>
      <c r="C47" s="37">
        <f>Annotator_1!E47</f>
        <v>5</v>
      </c>
      <c r="D47" s="37">
        <f>Annotator_1!F47</f>
        <v>5</v>
      </c>
      <c r="E47" s="37">
        <f>Annotator_1!G47</f>
        <v>5</v>
      </c>
      <c r="F47" s="37">
        <f>Annotator_2!E47</f>
        <v>5</v>
      </c>
      <c r="G47" s="37">
        <f>Annotator_2!F47</f>
        <v>5</v>
      </c>
      <c r="H47" s="37">
        <f>Annotator_2!G47</f>
        <v>5</v>
      </c>
      <c r="I47" s="37">
        <f>Annotator_3!E47</f>
        <v>5</v>
      </c>
      <c r="J47" s="37">
        <f>Annotator_3!F47</f>
        <v>5</v>
      </c>
      <c r="K47" s="37">
        <f>Annotator_3!G47</f>
        <v>5</v>
      </c>
    </row>
    <row r="48" spans="1:11" x14ac:dyDescent="0.25">
      <c r="A48" s="36" t="s">
        <v>191</v>
      </c>
      <c r="B48" s="36" t="s">
        <v>58</v>
      </c>
      <c r="C48" s="37">
        <f>Annotator_1!E48</f>
        <v>5</v>
      </c>
      <c r="D48" s="37">
        <f>Annotator_1!F48</f>
        <v>5</v>
      </c>
      <c r="E48" s="37">
        <f>Annotator_1!G48</f>
        <v>5</v>
      </c>
      <c r="F48" s="37">
        <f>Annotator_2!E48</f>
        <v>5</v>
      </c>
      <c r="G48" s="37">
        <f>Annotator_2!F48</f>
        <v>5</v>
      </c>
      <c r="H48" s="37">
        <f>Annotator_2!G48</f>
        <v>5</v>
      </c>
      <c r="I48" s="37">
        <f>Annotator_3!E48</f>
        <v>5</v>
      </c>
      <c r="J48" s="37">
        <f>Annotator_3!F48</f>
        <v>5</v>
      </c>
      <c r="K48" s="37">
        <f>Annotator_3!G48</f>
        <v>5</v>
      </c>
    </row>
    <row r="49" spans="1:11" x14ac:dyDescent="0.25">
      <c r="A49" s="36" t="s">
        <v>194</v>
      </c>
      <c r="B49" s="36" t="s">
        <v>92</v>
      </c>
      <c r="C49" s="37">
        <f>Annotator_1!E49</f>
        <v>4</v>
      </c>
      <c r="D49" s="37">
        <f>Annotator_1!F49</f>
        <v>5</v>
      </c>
      <c r="E49" s="37">
        <f>Annotator_1!G49</f>
        <v>5</v>
      </c>
      <c r="F49" s="37">
        <f>Annotator_2!E49</f>
        <v>4</v>
      </c>
      <c r="G49" s="37">
        <f>Annotator_2!F49</f>
        <v>5</v>
      </c>
      <c r="H49" s="37">
        <f>Annotator_2!G49</f>
        <v>5</v>
      </c>
      <c r="I49" s="37">
        <f>Annotator_3!E49</f>
        <v>4</v>
      </c>
      <c r="J49" s="37">
        <f>Annotator_3!F49</f>
        <v>4</v>
      </c>
      <c r="K49" s="37">
        <f>Annotator_3!G49</f>
        <v>5</v>
      </c>
    </row>
    <row r="50" spans="1:11" x14ac:dyDescent="0.25">
      <c r="A50" s="36" t="s">
        <v>197</v>
      </c>
      <c r="B50" s="36" t="s">
        <v>58</v>
      </c>
      <c r="C50" s="37">
        <f>Annotator_1!E50</f>
        <v>5</v>
      </c>
      <c r="D50" s="37">
        <f>Annotator_1!F50</f>
        <v>5</v>
      </c>
      <c r="E50" s="37">
        <f>Annotator_1!G50</f>
        <v>4</v>
      </c>
      <c r="F50" s="37">
        <f>Annotator_2!E50</f>
        <v>5</v>
      </c>
      <c r="G50" s="37">
        <f>Annotator_2!F50</f>
        <v>5</v>
      </c>
      <c r="H50" s="37">
        <f>Annotator_2!G50</f>
        <v>4</v>
      </c>
      <c r="I50" s="37">
        <f>Annotator_3!E50</f>
        <v>5</v>
      </c>
      <c r="J50" s="37">
        <f>Annotator_3!F50</f>
        <v>3</v>
      </c>
      <c r="K50" s="37">
        <f>Annotator_3!G50</f>
        <v>5</v>
      </c>
    </row>
    <row r="51" spans="1:11" x14ac:dyDescent="0.25">
      <c r="A51" s="36" t="s">
        <v>200</v>
      </c>
      <c r="B51" s="36" t="s">
        <v>58</v>
      </c>
      <c r="C51" s="37">
        <f>Annotator_1!E51</f>
        <v>4</v>
      </c>
      <c r="D51" s="37">
        <f>Annotator_1!F51</f>
        <v>3</v>
      </c>
      <c r="E51" s="37">
        <f>Annotator_1!G51</f>
        <v>4</v>
      </c>
      <c r="F51" s="37">
        <f>Annotator_2!E51</f>
        <v>4</v>
      </c>
      <c r="G51" s="37">
        <f>Annotator_2!F51</f>
        <v>3</v>
      </c>
      <c r="H51" s="37">
        <f>Annotator_2!G51</f>
        <v>3</v>
      </c>
      <c r="I51" s="37">
        <f>Annotator_3!E51</f>
        <v>4</v>
      </c>
      <c r="J51" s="37">
        <f>Annotator_3!F51</f>
        <v>4</v>
      </c>
      <c r="K51" s="37">
        <f>Annotator_3!G51</f>
        <v>3</v>
      </c>
    </row>
    <row r="52" spans="1:11" x14ac:dyDescent="0.25">
      <c r="A52" s="36" t="s">
        <v>203</v>
      </c>
      <c r="B52" s="36" t="s">
        <v>92</v>
      </c>
      <c r="C52" s="37">
        <f>Annotator_1!E52</f>
        <v>5</v>
      </c>
      <c r="D52" s="37">
        <f>Annotator_1!F52</f>
        <v>5</v>
      </c>
      <c r="E52" s="37">
        <f>Annotator_1!G52</f>
        <v>4</v>
      </c>
      <c r="F52" s="37">
        <f>Annotator_2!E52</f>
        <v>4</v>
      </c>
      <c r="G52" s="37">
        <f>Annotator_2!F52</f>
        <v>5</v>
      </c>
      <c r="H52" s="37">
        <f>Annotator_2!G52</f>
        <v>4</v>
      </c>
      <c r="I52" s="37">
        <f>Annotator_3!E52</f>
        <v>4</v>
      </c>
      <c r="J52" s="37">
        <f>Annotator_3!F52</f>
        <v>5</v>
      </c>
      <c r="K52" s="37">
        <f>Annotator_3!G52</f>
        <v>5</v>
      </c>
    </row>
    <row r="53" spans="1:11" x14ac:dyDescent="0.25">
      <c r="C53">
        <f>AVERAGE(C3:C52)</f>
        <v>4.62</v>
      </c>
      <c r="D53">
        <f t="shared" ref="D53:K53" si="0">AVERAGE(D3:D52)</f>
        <v>4.6399999999999997</v>
      </c>
      <c r="E53">
        <f t="shared" si="0"/>
        <v>4.4800000000000004</v>
      </c>
      <c r="F53">
        <f t="shared" si="0"/>
        <v>4.38</v>
      </c>
      <c r="G53">
        <f t="shared" si="0"/>
        <v>4.3</v>
      </c>
      <c r="H53">
        <f t="shared" si="0"/>
        <v>4.4800000000000004</v>
      </c>
      <c r="I53">
        <f t="shared" si="0"/>
        <v>4.3600000000000003</v>
      </c>
      <c r="J53">
        <f t="shared" si="0"/>
        <v>4.28</v>
      </c>
      <c r="K53">
        <f t="shared" si="0"/>
        <v>4.58</v>
      </c>
    </row>
    <row r="55" spans="1:11" ht="30" x14ac:dyDescent="0.25">
      <c r="A55" s="38" t="s">
        <v>221</v>
      </c>
      <c r="B55">
        <f>AVERAGE(C53,F53,I53)</f>
        <v>4.4533333333333331</v>
      </c>
    </row>
    <row r="56" spans="1:11" ht="45" x14ac:dyDescent="0.25">
      <c r="A56" s="38" t="s">
        <v>222</v>
      </c>
      <c r="B56">
        <f>AVERAGE(D53,G53,J53)</f>
        <v>4.4066666666666663</v>
      </c>
    </row>
    <row r="57" spans="1:11" x14ac:dyDescent="0.25">
      <c r="A57" t="s">
        <v>223</v>
      </c>
      <c r="B57">
        <f>AVERAGE(E53,H53,K53)</f>
        <v>4.5133333333333336</v>
      </c>
    </row>
  </sheetData>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Annotator_1</vt:lpstr>
      <vt:lpstr>Annotator_2</vt:lpstr>
      <vt:lpstr>Annotator_3</vt:lpstr>
      <vt:lpstr>Results_Summary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RANIT BARAM</cp:lastModifiedBy>
  <dcterms:created xsi:type="dcterms:W3CDTF">2026-04-07T05:55:11Z</dcterms:created>
  <dcterms:modified xsi:type="dcterms:W3CDTF">2026-04-10T11:05:25Z</dcterms:modified>
</cp:coreProperties>
</file>